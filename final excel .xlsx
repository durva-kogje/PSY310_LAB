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yk-j/Desktop/"/>
    </mc:Choice>
  </mc:AlternateContent>
  <xr:revisionPtr revIDLastSave="0" documentId="13_ncr:1_{940CB452-012F-404D-91E9-20D29C21E34A}" xr6:coauthVersionLast="47" xr6:coauthVersionMax="47" xr10:uidLastSave="{00000000-0000-0000-0000-000000000000}"/>
  <bookViews>
    <workbookView xWindow="0" yWindow="0" windowWidth="28800" windowHeight="18000" xr2:uid="{4709F6AC-5B5B-3541-90A4-0AD14B75996C}"/>
  </bookViews>
  <sheets>
    <sheet name="Sheet1" sheetId="1" r:id="rId1"/>
    <sheet name="Sheet2" sheetId="2" r:id="rId2"/>
    <sheet name="Sheet3" sheetId="3" r:id="rId3"/>
    <sheet name="Sheet4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2" i="1" l="1"/>
  <c r="F82" i="1"/>
  <c r="F78" i="1"/>
  <c r="F74" i="1"/>
  <c r="F65" i="1"/>
  <c r="F62" i="1"/>
  <c r="F54" i="1"/>
  <c r="F48" i="1"/>
  <c r="F46" i="1"/>
  <c r="F43" i="1"/>
  <c r="F38" i="1"/>
  <c r="F33" i="1"/>
  <c r="F30" i="1"/>
  <c r="F27" i="1"/>
  <c r="F25" i="1"/>
  <c r="F21" i="1"/>
  <c r="F15" i="1"/>
  <c r="F7" i="1"/>
  <c r="I2" i="2"/>
  <c r="F83" i="2"/>
  <c r="F78" i="2"/>
  <c r="F73" i="2"/>
  <c r="F71" i="2"/>
  <c r="F66" i="2"/>
  <c r="F56" i="2"/>
  <c r="F54" i="2"/>
  <c r="F50" i="2"/>
  <c r="F45" i="2"/>
  <c r="F38" i="2"/>
  <c r="F35" i="2"/>
  <c r="F33" i="2"/>
  <c r="F27" i="2"/>
  <c r="F9" i="2"/>
  <c r="I2" i="3"/>
  <c r="F97" i="3"/>
  <c r="F90" i="3"/>
  <c r="F84" i="3"/>
  <c r="F79" i="3"/>
  <c r="F76" i="3"/>
  <c r="F74" i="3"/>
  <c r="F71" i="3"/>
  <c r="F69" i="3"/>
  <c r="F67" i="3"/>
  <c r="F65" i="3"/>
  <c r="F60" i="3"/>
  <c r="F58" i="3"/>
  <c r="F45" i="3"/>
  <c r="F42" i="3"/>
  <c r="F39" i="3"/>
  <c r="F37" i="3"/>
  <c r="F32" i="3"/>
  <c r="F30" i="3"/>
  <c r="F25" i="3"/>
  <c r="F23" i="3"/>
  <c r="F11" i="3"/>
  <c r="F4" i="3"/>
  <c r="F2" i="3"/>
  <c r="I2" i="4"/>
  <c r="F99" i="4"/>
  <c r="F94" i="4"/>
  <c r="F90" i="4"/>
  <c r="F87" i="4"/>
  <c r="F81" i="4"/>
  <c r="F78" i="4"/>
  <c r="F65" i="4"/>
  <c r="F61" i="4"/>
  <c r="F59" i="4"/>
  <c r="F54" i="4"/>
  <c r="F45" i="4"/>
  <c r="F42" i="4"/>
  <c r="F32" i="4"/>
  <c r="F27" i="4"/>
  <c r="F22" i="4"/>
  <c r="F20" i="4"/>
  <c r="F15" i="4"/>
  <c r="F11" i="4"/>
  <c r="F8" i="4"/>
  <c r="F3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2" i="4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2" i="3"/>
  <c r="E90" i="2"/>
  <c r="E24" i="2"/>
  <c r="E52" i="2"/>
  <c r="E101" i="2"/>
  <c r="E42" i="2"/>
  <c r="E50" i="2"/>
  <c r="E55" i="2"/>
  <c r="E27" i="2"/>
  <c r="E7" i="2"/>
  <c r="E80" i="2"/>
  <c r="E11" i="2"/>
  <c r="E89" i="2"/>
  <c r="E70" i="2"/>
  <c r="E98" i="2"/>
  <c r="E84" i="2"/>
  <c r="E33" i="2"/>
  <c r="E21" i="2"/>
  <c r="E53" i="2"/>
  <c r="E15" i="2"/>
  <c r="E96" i="2"/>
  <c r="E12" i="2"/>
  <c r="E9" i="2"/>
  <c r="E17" i="2"/>
  <c r="E92" i="2"/>
  <c r="E44" i="2"/>
  <c r="E36" i="2"/>
  <c r="E99" i="2"/>
  <c r="E61" i="2"/>
  <c r="E82" i="2"/>
  <c r="E60" i="2"/>
  <c r="E54" i="2"/>
  <c r="E57" i="2"/>
  <c r="E85" i="2"/>
  <c r="E40" i="2"/>
  <c r="E37" i="2"/>
  <c r="E64" i="2"/>
  <c r="E34" i="2"/>
  <c r="E87" i="2"/>
  <c r="E8" i="2"/>
  <c r="E51" i="2"/>
  <c r="E45" i="2"/>
  <c r="E6" i="2"/>
  <c r="E10" i="2"/>
  <c r="E19" i="2"/>
  <c r="E86" i="2"/>
  <c r="E4" i="2"/>
  <c r="E43" i="2"/>
  <c r="E65" i="2"/>
  <c r="E76" i="2"/>
  <c r="E74" i="2"/>
  <c r="E26" i="2"/>
  <c r="E97" i="2"/>
  <c r="E35" i="2"/>
  <c r="E30" i="2"/>
  <c r="E71" i="2"/>
  <c r="E3" i="2"/>
  <c r="E48" i="2"/>
  <c r="E62" i="2"/>
  <c r="E63" i="2"/>
  <c r="E75" i="2"/>
  <c r="E5" i="2"/>
  <c r="E47" i="2"/>
  <c r="E14" i="2"/>
  <c r="E79" i="2"/>
  <c r="E59" i="2"/>
  <c r="E25" i="2"/>
  <c r="E83" i="2"/>
  <c r="E41" i="2"/>
  <c r="E56" i="2"/>
  <c r="E93" i="2"/>
  <c r="E39" i="2"/>
  <c r="E94" i="2"/>
  <c r="E72" i="2"/>
  <c r="E100" i="2"/>
  <c r="E31" i="2"/>
  <c r="E88" i="2"/>
  <c r="E69" i="2"/>
  <c r="E16" i="2"/>
  <c r="E49" i="2"/>
  <c r="E66" i="2"/>
  <c r="E91" i="2"/>
  <c r="E32" i="2"/>
  <c r="E67" i="2"/>
  <c r="E46" i="2"/>
  <c r="E29" i="2"/>
  <c r="E95" i="2"/>
  <c r="E68" i="2"/>
  <c r="E77" i="2"/>
  <c r="E58" i="2"/>
  <c r="E20" i="2"/>
  <c r="E13" i="2"/>
  <c r="E23" i="2"/>
  <c r="E73" i="2"/>
  <c r="E18" i="2"/>
  <c r="E78" i="2"/>
  <c r="E2" i="2"/>
  <c r="E28" i="2"/>
  <c r="E22" i="2"/>
  <c r="E81" i="2"/>
  <c r="E38" i="2"/>
  <c r="E86" i="1"/>
  <c r="E21" i="1"/>
  <c r="E72" i="1"/>
  <c r="E46" i="1"/>
  <c r="E35" i="1"/>
  <c r="E13" i="1"/>
  <c r="E96" i="1"/>
  <c r="E88" i="1"/>
  <c r="E5" i="1"/>
  <c r="E98" i="1"/>
  <c r="E67" i="1"/>
  <c r="E33" i="1"/>
  <c r="E7" i="1"/>
  <c r="E75" i="1"/>
  <c r="E39" i="1"/>
  <c r="E78" i="1"/>
  <c r="E68" i="1"/>
  <c r="E82" i="1"/>
  <c r="E89" i="1"/>
  <c r="E65" i="1"/>
  <c r="E38" i="1"/>
  <c r="E63" i="1"/>
  <c r="E90" i="1"/>
  <c r="E91" i="1"/>
  <c r="E59" i="1"/>
  <c r="E55" i="1"/>
  <c r="E14" i="1"/>
  <c r="E87" i="1"/>
  <c r="E9" i="1"/>
  <c r="E51" i="1"/>
  <c r="E48" i="1"/>
  <c r="E25" i="1"/>
  <c r="E28" i="1"/>
  <c r="E52" i="1"/>
  <c r="E12" i="1"/>
  <c r="E70" i="1"/>
  <c r="E84" i="1"/>
  <c r="E57" i="1"/>
  <c r="E92" i="1"/>
  <c r="E97" i="1"/>
  <c r="E37" i="1"/>
  <c r="E79" i="1"/>
  <c r="E62" i="1"/>
  <c r="E60" i="1"/>
  <c r="E6" i="1"/>
  <c r="E45" i="1"/>
  <c r="E4" i="1"/>
  <c r="E56" i="1"/>
  <c r="E61" i="1"/>
  <c r="E30" i="1"/>
  <c r="E8" i="1"/>
  <c r="E44" i="1"/>
  <c r="E32" i="1"/>
  <c r="E31" i="1"/>
  <c r="E23" i="1"/>
  <c r="E10" i="1"/>
  <c r="E42" i="1"/>
  <c r="E34" i="1"/>
  <c r="E16" i="1"/>
  <c r="E27" i="1"/>
  <c r="E19" i="1"/>
  <c r="E64" i="1"/>
  <c r="E54" i="1"/>
  <c r="E73" i="1"/>
  <c r="E15" i="1"/>
  <c r="E81" i="1"/>
  <c r="E69" i="1"/>
  <c r="E11" i="1"/>
  <c r="E85" i="1"/>
  <c r="E36" i="1"/>
  <c r="E29" i="1"/>
  <c r="E100" i="1"/>
  <c r="E24" i="1"/>
  <c r="E71" i="1"/>
  <c r="E58" i="1"/>
  <c r="E20" i="1"/>
  <c r="E41" i="1"/>
  <c r="E94" i="1"/>
  <c r="E95" i="1"/>
  <c r="E2" i="1"/>
  <c r="E101" i="1"/>
  <c r="E26" i="1"/>
  <c r="E66" i="1"/>
  <c r="E83" i="1"/>
  <c r="E18" i="1"/>
  <c r="E93" i="1"/>
  <c r="E77" i="1"/>
  <c r="E40" i="1"/>
  <c r="E49" i="1"/>
  <c r="E80" i="1"/>
  <c r="E50" i="1"/>
  <c r="E22" i="1"/>
  <c r="E74" i="1"/>
  <c r="E3" i="1"/>
  <c r="E99" i="1"/>
  <c r="E47" i="1"/>
  <c r="E53" i="1"/>
  <c r="E76" i="1"/>
  <c r="E43" i="1"/>
  <c r="E17" i="1"/>
</calcChain>
</file>

<file path=xl/sharedStrings.xml><?xml version="1.0" encoding="utf-8"?>
<sst xmlns="http://schemas.openxmlformats.org/spreadsheetml/2006/main" count="428" uniqueCount="9">
  <si>
    <t>reward_today</t>
  </si>
  <si>
    <t>future_reward</t>
  </si>
  <si>
    <t>delay</t>
  </si>
  <si>
    <t>key_resp.keys</t>
  </si>
  <si>
    <t>t</t>
  </si>
  <si>
    <t>l</t>
  </si>
  <si>
    <t xml:space="preserve">k </t>
  </si>
  <si>
    <t>mean of all geo mean</t>
  </si>
  <si>
    <t>geomean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</si>
</sst>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F811B-D0FD-6146-974C-11E31036E7F1}">
  <dimension ref="A1:I101"/>
  <sheetViews>
    <sheetView tabSelected="1" topLeftCell="B1" zoomScale="137" workbookViewId="0">
      <selection activeCell="H11" sqref="H11"/>
    </sheetView>
  </sheetViews>
  <sheetFormatPr baseColWidth="10" defaultRowHeight="16" x14ac:dyDescent="0.2"/>
  <cols>
    <col min="1" max="1" width="12.5" bestFit="1" customWidth="1"/>
    <col min="2" max="2" width="13" bestFit="1" customWidth="1"/>
    <col min="4" max="4" width="12.33203125" bestFit="1" customWidth="1"/>
    <col min="8" max="8" width="19.33203125" bestFit="1" customWidth="1"/>
  </cols>
  <sheetData>
    <row r="1" spans="1:9" x14ac:dyDescent="0.2">
      <c r="A1" t="s">
        <v>0</v>
      </c>
      <c r="B1" s="2" t="s">
        <v>1</v>
      </c>
      <c r="C1" s="2" t="s">
        <v>2</v>
      </c>
      <c r="D1" s="2" t="s">
        <v>3</v>
      </c>
      <c r="E1" s="2" t="s">
        <v>6</v>
      </c>
      <c r="F1" s="2" t="s">
        <v>8</v>
      </c>
    </row>
    <row r="2" spans="1:9" x14ac:dyDescent="0.2">
      <c r="A2">
        <v>78</v>
      </c>
      <c r="B2">
        <v>80</v>
      </c>
      <c r="C2">
        <v>162</v>
      </c>
      <c r="D2" t="s">
        <v>5</v>
      </c>
      <c r="E2">
        <f>((B2/A2)-1)/C2</f>
        <v>1.5827793605571326E-4</v>
      </c>
      <c r="H2" s="3" t="s">
        <v>7</v>
      </c>
      <c r="I2" s="1">
        <f>AVERAGE(F7,F15,F21,F25,F27,F30,F33,F38,F43,F46,F48,F54,F62,F65,F74,F78,F82)</f>
        <v>4.659618073058043E-3</v>
      </c>
    </row>
    <row r="3" spans="1:9" x14ac:dyDescent="0.2">
      <c r="A3">
        <v>62</v>
      </c>
      <c r="B3">
        <v>64</v>
      </c>
      <c r="C3">
        <v>97</v>
      </c>
      <c r="D3" t="s">
        <v>4</v>
      </c>
      <c r="E3">
        <f>((B3/A3)-1)/C3</f>
        <v>3.3255736614565983E-4</v>
      </c>
    </row>
    <row r="4" spans="1:9" x14ac:dyDescent="0.2">
      <c r="A4">
        <v>62</v>
      </c>
      <c r="B4">
        <v>64</v>
      </c>
      <c r="C4">
        <v>93</v>
      </c>
      <c r="D4" t="s">
        <v>4</v>
      </c>
      <c r="E4">
        <f>((B4/A4)-1)/C4</f>
        <v>3.4686090877558066E-4</v>
      </c>
    </row>
    <row r="5" spans="1:9" x14ac:dyDescent="0.2">
      <c r="A5">
        <v>46</v>
      </c>
      <c r="B5">
        <v>47</v>
      </c>
      <c r="C5">
        <v>60</v>
      </c>
      <c r="D5" t="s">
        <v>4</v>
      </c>
      <c r="E5">
        <f>((B5/A5)-1)/C5</f>
        <v>3.6231884057971178E-4</v>
      </c>
    </row>
    <row r="6" spans="1:9" x14ac:dyDescent="0.2">
      <c r="A6">
        <v>44</v>
      </c>
      <c r="B6">
        <v>45</v>
      </c>
      <c r="C6">
        <v>56</v>
      </c>
      <c r="D6" t="s">
        <v>4</v>
      </c>
      <c r="E6">
        <f>((B6/A6)-1)/C6</f>
        <v>4.0584415584415549E-4</v>
      </c>
    </row>
    <row r="7" spans="1:9" x14ac:dyDescent="0.2">
      <c r="A7">
        <v>77</v>
      </c>
      <c r="B7">
        <v>78</v>
      </c>
      <c r="C7">
        <v>23</v>
      </c>
      <c r="D7" s="1" t="s">
        <v>4</v>
      </c>
      <c r="E7" s="1">
        <f>((B7/A7)-1)/C7</f>
        <v>5.6465273856577745E-4</v>
      </c>
      <c r="F7">
        <f>GEOMEAN(E7:E8)</f>
        <v>6.81340829767193E-4</v>
      </c>
    </row>
    <row r="8" spans="1:9" x14ac:dyDescent="0.2">
      <c r="A8">
        <v>82</v>
      </c>
      <c r="B8">
        <v>88</v>
      </c>
      <c r="C8">
        <v>89</v>
      </c>
      <c r="D8" s="1" t="s">
        <v>5</v>
      </c>
      <c r="E8" s="1">
        <f>((B8/A8)-1)/C8</f>
        <v>8.2214305289120379E-4</v>
      </c>
    </row>
    <row r="9" spans="1:9" x14ac:dyDescent="0.2">
      <c r="A9">
        <v>67</v>
      </c>
      <c r="B9">
        <v>75</v>
      </c>
      <c r="C9">
        <v>119</v>
      </c>
      <c r="D9" t="s">
        <v>5</v>
      </c>
      <c r="E9">
        <f>((B9/A9)-1)/C9</f>
        <v>1.0033864291985443E-3</v>
      </c>
    </row>
    <row r="10" spans="1:9" x14ac:dyDescent="0.2">
      <c r="A10">
        <v>81</v>
      </c>
      <c r="B10">
        <v>85</v>
      </c>
      <c r="C10">
        <v>47</v>
      </c>
      <c r="D10" t="s">
        <v>4</v>
      </c>
      <c r="E10">
        <f>((B10/A10)-1)/C10</f>
        <v>1.0506960861570789E-3</v>
      </c>
    </row>
    <row r="11" spans="1:9" x14ac:dyDescent="0.2">
      <c r="A11">
        <v>37</v>
      </c>
      <c r="B11">
        <v>39</v>
      </c>
      <c r="C11">
        <v>51</v>
      </c>
      <c r="D11" t="s">
        <v>4</v>
      </c>
      <c r="E11">
        <f>((B11/A11)-1)/C11</f>
        <v>1.0598834128245872E-3</v>
      </c>
    </row>
    <row r="12" spans="1:9" x14ac:dyDescent="0.2">
      <c r="A12">
        <v>84</v>
      </c>
      <c r="B12">
        <v>95</v>
      </c>
      <c r="C12">
        <v>97</v>
      </c>
      <c r="D12" t="s">
        <v>4</v>
      </c>
      <c r="E12">
        <f>((B12/A12)-1)/C12</f>
        <v>1.3500245459008343E-3</v>
      </c>
    </row>
    <row r="13" spans="1:9" x14ac:dyDescent="0.2">
      <c r="A13">
        <v>71</v>
      </c>
      <c r="B13">
        <v>72</v>
      </c>
      <c r="C13">
        <v>10</v>
      </c>
      <c r="D13" t="s">
        <v>4</v>
      </c>
      <c r="E13">
        <f>((B13/A13)-1)/C13</f>
        <v>1.4084507042253502E-3</v>
      </c>
    </row>
    <row r="14" spans="1:9" x14ac:dyDescent="0.2">
      <c r="A14">
        <v>81</v>
      </c>
      <c r="B14">
        <v>90</v>
      </c>
      <c r="C14">
        <v>71</v>
      </c>
      <c r="D14" t="s">
        <v>4</v>
      </c>
      <c r="E14">
        <f>((B14/A14)-1)/C14</f>
        <v>1.5649452269170586E-3</v>
      </c>
    </row>
    <row r="15" spans="1:9" x14ac:dyDescent="0.2">
      <c r="A15">
        <v>49</v>
      </c>
      <c r="B15">
        <v>56</v>
      </c>
      <c r="C15">
        <v>91</v>
      </c>
      <c r="D15" s="1" t="s">
        <v>4</v>
      </c>
      <c r="E15" s="1">
        <f>((B15/A15)-1)/C15</f>
        <v>1.5698587127158548E-3</v>
      </c>
      <c r="F15">
        <f>GEOMEAN(E15:E16)</f>
        <v>1.5793396544557514E-3</v>
      </c>
    </row>
    <row r="16" spans="1:9" x14ac:dyDescent="0.2">
      <c r="A16">
        <v>53</v>
      </c>
      <c r="B16">
        <v>61</v>
      </c>
      <c r="C16">
        <v>95</v>
      </c>
      <c r="D16" s="1" t="s">
        <v>5</v>
      </c>
      <c r="E16" s="1">
        <f>((B16/A16)-1)/C16</f>
        <v>1.5888778550148953E-3</v>
      </c>
    </row>
    <row r="17" spans="1:6" x14ac:dyDescent="0.2">
      <c r="A17">
        <v>11</v>
      </c>
      <c r="B17">
        <v>12</v>
      </c>
      <c r="C17">
        <v>57</v>
      </c>
      <c r="D17" t="s">
        <v>4</v>
      </c>
      <c r="E17">
        <f>((B17/A17)-1)/C17</f>
        <v>1.5948963317384355E-3</v>
      </c>
    </row>
    <row r="18" spans="1:6" x14ac:dyDescent="0.2">
      <c r="A18">
        <v>85</v>
      </c>
      <c r="B18">
        <v>99</v>
      </c>
      <c r="C18">
        <v>98</v>
      </c>
      <c r="D18" t="s">
        <v>4</v>
      </c>
      <c r="E18">
        <f>((B18/A18)-1)/C18</f>
        <v>1.6806722689075638E-3</v>
      </c>
    </row>
    <row r="19" spans="1:6" x14ac:dyDescent="0.2">
      <c r="A19">
        <v>60</v>
      </c>
      <c r="B19">
        <v>67</v>
      </c>
      <c r="C19">
        <v>61</v>
      </c>
      <c r="D19" t="s">
        <v>4</v>
      </c>
      <c r="E19">
        <f>((B19/A19)-1)/C19</f>
        <v>1.9125683060109294E-3</v>
      </c>
    </row>
    <row r="20" spans="1:6" x14ac:dyDescent="0.2">
      <c r="A20">
        <v>69</v>
      </c>
      <c r="B20">
        <v>76</v>
      </c>
      <c r="C20">
        <v>53</v>
      </c>
      <c r="D20" t="s">
        <v>4</v>
      </c>
      <c r="E20">
        <f>((B20/A20)-1)/C20</f>
        <v>1.9141372709871481E-3</v>
      </c>
    </row>
    <row r="21" spans="1:6" x14ac:dyDescent="0.2">
      <c r="A21">
        <v>33</v>
      </c>
      <c r="B21">
        <v>38</v>
      </c>
      <c r="C21">
        <v>79</v>
      </c>
      <c r="D21" s="1" t="s">
        <v>4</v>
      </c>
      <c r="E21" s="1">
        <f>((B21/A21)-1)/C21</f>
        <v>1.9179133103183748E-3</v>
      </c>
      <c r="F21">
        <f>GEOMEAN(E21:E22)</f>
        <v>1.9302622128687834E-3</v>
      </c>
    </row>
    <row r="22" spans="1:6" x14ac:dyDescent="0.2">
      <c r="A22">
        <v>87</v>
      </c>
      <c r="B22">
        <v>99</v>
      </c>
      <c r="C22">
        <v>71</v>
      </c>
      <c r="D22" s="1" t="s">
        <v>5</v>
      </c>
      <c r="E22" s="1">
        <f>((B22/A22)-1)/C22</f>
        <v>1.9426906265177278E-3</v>
      </c>
    </row>
    <row r="23" spans="1:6" x14ac:dyDescent="0.2">
      <c r="A23">
        <v>62</v>
      </c>
      <c r="B23">
        <v>74</v>
      </c>
      <c r="C23">
        <v>99</v>
      </c>
      <c r="D23" t="s">
        <v>5</v>
      </c>
      <c r="E23">
        <f>((B23/A23)-1)/C23</f>
        <v>1.9550342130987297E-3</v>
      </c>
    </row>
    <row r="24" spans="1:6" x14ac:dyDescent="0.2">
      <c r="A24">
        <v>83</v>
      </c>
      <c r="B24">
        <v>87</v>
      </c>
      <c r="C24">
        <v>23</v>
      </c>
      <c r="D24" t="s">
        <v>4</v>
      </c>
      <c r="E24">
        <f>((B24/A24)-1)/C24</f>
        <v>2.0953378732320557E-3</v>
      </c>
    </row>
    <row r="25" spans="1:6" x14ac:dyDescent="0.2">
      <c r="A25">
        <v>37</v>
      </c>
      <c r="B25">
        <v>44</v>
      </c>
      <c r="C25">
        <v>82</v>
      </c>
      <c r="D25" s="1" t="s">
        <v>4</v>
      </c>
      <c r="E25" s="1">
        <f>((B25/A25)-1)/C25</f>
        <v>2.3071852340145033E-3</v>
      </c>
      <c r="F25">
        <f>GEOMEAN(E25:E26)</f>
        <v>2.3569091258772087E-3</v>
      </c>
    </row>
    <row r="26" spans="1:6" x14ac:dyDescent="0.2">
      <c r="A26">
        <v>89</v>
      </c>
      <c r="B26">
        <v>98</v>
      </c>
      <c r="C26">
        <v>42</v>
      </c>
      <c r="D26" s="1" t="s">
        <v>5</v>
      </c>
      <c r="E26" s="1">
        <f>((B26/A26)-1)/C26</f>
        <v>2.4077046548956669E-3</v>
      </c>
    </row>
    <row r="27" spans="1:6" x14ac:dyDescent="0.2">
      <c r="A27">
        <v>58</v>
      </c>
      <c r="B27">
        <v>68</v>
      </c>
      <c r="C27">
        <v>69</v>
      </c>
      <c r="D27" s="1" t="s">
        <v>4</v>
      </c>
      <c r="E27" s="1">
        <f>((B27/A27)-1)/C27</f>
        <v>2.4987506246876546E-3</v>
      </c>
      <c r="F27">
        <f>GEOMEAN(E27:E28)</f>
        <v>2.499375234277386E-3</v>
      </c>
    </row>
    <row r="28" spans="1:6" x14ac:dyDescent="0.2">
      <c r="A28">
        <v>80</v>
      </c>
      <c r="B28">
        <v>99</v>
      </c>
      <c r="C28">
        <v>95</v>
      </c>
      <c r="D28" s="1" t="s">
        <v>5</v>
      </c>
      <c r="E28" s="1">
        <f>((B28/A28)-1)/C28</f>
        <v>2.5000000000000005E-3</v>
      </c>
    </row>
    <row r="29" spans="1:6" x14ac:dyDescent="0.2">
      <c r="A29">
        <v>49</v>
      </c>
      <c r="B29">
        <v>60</v>
      </c>
      <c r="C29">
        <v>89</v>
      </c>
      <c r="D29" t="s">
        <v>4</v>
      </c>
      <c r="E29">
        <f>((B29/A29)-1)/C29</f>
        <v>2.522357257509746E-3</v>
      </c>
    </row>
    <row r="30" spans="1:6" x14ac:dyDescent="0.2">
      <c r="A30">
        <v>36</v>
      </c>
      <c r="B30">
        <v>45</v>
      </c>
      <c r="C30">
        <v>88</v>
      </c>
      <c r="D30" s="1" t="s">
        <v>4</v>
      </c>
      <c r="E30" s="1">
        <f>((B30/A30)-1)/C30</f>
        <v>2.840909090909091E-3</v>
      </c>
      <c r="F30">
        <f>GEOMEAN(E30:E31)</f>
        <v>2.8594313179479847E-3</v>
      </c>
    </row>
    <row r="31" spans="1:6" x14ac:dyDescent="0.2">
      <c r="A31">
        <v>39</v>
      </c>
      <c r="B31">
        <v>50</v>
      </c>
      <c r="C31">
        <v>98</v>
      </c>
      <c r="D31" s="1" t="s">
        <v>5</v>
      </c>
      <c r="E31" s="1">
        <f>((B31/A31)-1)/C31</f>
        <v>2.8780743066457361E-3</v>
      </c>
    </row>
    <row r="32" spans="1:6" x14ac:dyDescent="0.2">
      <c r="A32">
        <v>11</v>
      </c>
      <c r="B32">
        <v>13</v>
      </c>
      <c r="C32">
        <v>63</v>
      </c>
      <c r="D32" t="s">
        <v>4</v>
      </c>
      <c r="E32">
        <f>((B32/A32)-1)/C32</f>
        <v>2.8860028860028869E-3</v>
      </c>
    </row>
    <row r="33" spans="1:6" x14ac:dyDescent="0.2">
      <c r="A33">
        <v>33</v>
      </c>
      <c r="B33">
        <v>36</v>
      </c>
      <c r="C33">
        <v>31</v>
      </c>
      <c r="D33" s="1" t="s">
        <v>4</v>
      </c>
      <c r="E33" s="1">
        <f>((B33/A33)-1)/C33</f>
        <v>2.9325513196480912E-3</v>
      </c>
      <c r="F33">
        <f>GEOMEAN(E33:E34)</f>
        <v>2.9539972815561047E-3</v>
      </c>
    </row>
    <row r="34" spans="1:6" x14ac:dyDescent="0.2">
      <c r="A34">
        <v>71</v>
      </c>
      <c r="B34">
        <v>86</v>
      </c>
      <c r="C34">
        <v>71</v>
      </c>
      <c r="D34" s="1" t="s">
        <v>5</v>
      </c>
      <c r="E34" s="1">
        <f>((B34/A34)-1)/C34</f>
        <v>2.9756000793493345E-3</v>
      </c>
    </row>
    <row r="35" spans="1:6" x14ac:dyDescent="0.2">
      <c r="A35">
        <v>61</v>
      </c>
      <c r="B35">
        <v>76</v>
      </c>
      <c r="C35">
        <v>81</v>
      </c>
      <c r="D35" t="s">
        <v>5</v>
      </c>
      <c r="E35">
        <f>((B35/A35)-1)/C35</f>
        <v>3.0358227079538562E-3</v>
      </c>
    </row>
    <row r="36" spans="1:6" x14ac:dyDescent="0.2">
      <c r="A36">
        <v>87</v>
      </c>
      <c r="B36">
        <v>99</v>
      </c>
      <c r="C36">
        <v>45</v>
      </c>
      <c r="D36" t="s">
        <v>5</v>
      </c>
      <c r="E36">
        <f>((B36/A36)-1)/C36</f>
        <v>3.0651340996168596E-3</v>
      </c>
    </row>
    <row r="37" spans="1:6" x14ac:dyDescent="0.2">
      <c r="A37">
        <v>60</v>
      </c>
      <c r="B37">
        <v>72</v>
      </c>
      <c r="C37">
        <v>64</v>
      </c>
      <c r="D37" t="s">
        <v>5</v>
      </c>
      <c r="E37">
        <f>((B37/A37)-1)/C37</f>
        <v>3.1249999999999993E-3</v>
      </c>
    </row>
    <row r="38" spans="1:6" x14ac:dyDescent="0.2">
      <c r="A38">
        <v>82</v>
      </c>
      <c r="B38">
        <v>89</v>
      </c>
      <c r="C38">
        <v>27</v>
      </c>
      <c r="D38" s="1" t="s">
        <v>4</v>
      </c>
      <c r="E38" s="1">
        <f>((B38/A38)-1)/C38</f>
        <v>3.1616982836495059E-3</v>
      </c>
      <c r="F38">
        <f>GEOMEAN(E38:E39)</f>
        <v>3.2049842820790807E-3</v>
      </c>
    </row>
    <row r="39" spans="1:6" x14ac:dyDescent="0.2">
      <c r="A39">
        <v>57</v>
      </c>
      <c r="B39">
        <v>72</v>
      </c>
      <c r="C39">
        <v>81</v>
      </c>
      <c r="D39" s="1" t="s">
        <v>5</v>
      </c>
      <c r="E39" s="1">
        <f>((B39/A39)-1)/C39</f>
        <v>3.248862897985704E-3</v>
      </c>
    </row>
    <row r="40" spans="1:6" x14ac:dyDescent="0.2">
      <c r="A40">
        <v>70</v>
      </c>
      <c r="B40">
        <v>91</v>
      </c>
      <c r="C40">
        <v>92</v>
      </c>
      <c r="D40" t="s">
        <v>5</v>
      </c>
      <c r="E40">
        <f>((B40/A40)-1)/C40</f>
        <v>3.260869565217392E-3</v>
      </c>
    </row>
    <row r="41" spans="1:6" x14ac:dyDescent="0.2">
      <c r="A41">
        <v>81</v>
      </c>
      <c r="B41">
        <v>93</v>
      </c>
      <c r="C41">
        <v>43</v>
      </c>
      <c r="D41" t="s">
        <v>5</v>
      </c>
      <c r="E41">
        <f>((B41/A41)-1)/C41</f>
        <v>3.4453057708871662E-3</v>
      </c>
    </row>
    <row r="42" spans="1:6" x14ac:dyDescent="0.2">
      <c r="A42">
        <v>87</v>
      </c>
      <c r="B42">
        <v>90</v>
      </c>
      <c r="C42">
        <v>10</v>
      </c>
      <c r="D42" t="s">
        <v>4</v>
      </c>
      <c r="E42">
        <f>((B42/A42)-1)/C42</f>
        <v>3.4482758620689724E-3</v>
      </c>
    </row>
    <row r="43" spans="1:6" x14ac:dyDescent="0.2">
      <c r="A43">
        <v>48</v>
      </c>
      <c r="B43">
        <v>50</v>
      </c>
      <c r="C43">
        <v>12</v>
      </c>
      <c r="D43" s="1" t="s">
        <v>4</v>
      </c>
      <c r="E43" s="1">
        <f>((B43/A43)-1)/C43</f>
        <v>3.4722222222222285E-3</v>
      </c>
      <c r="F43">
        <f>GEOMEAN(E43:E44)</f>
        <v>3.5204284706684521E-3</v>
      </c>
    </row>
    <row r="44" spans="1:6" x14ac:dyDescent="0.2">
      <c r="A44">
        <v>41</v>
      </c>
      <c r="B44">
        <v>47</v>
      </c>
      <c r="C44">
        <v>41</v>
      </c>
      <c r="D44" s="1" t="s">
        <v>5</v>
      </c>
      <c r="E44" s="1">
        <f>((B44/A44)-1)/C44</f>
        <v>3.5693039857227818E-3</v>
      </c>
    </row>
    <row r="45" spans="1:6" x14ac:dyDescent="0.2">
      <c r="A45">
        <v>51</v>
      </c>
      <c r="B45">
        <v>54</v>
      </c>
      <c r="C45">
        <v>16</v>
      </c>
      <c r="D45" t="s">
        <v>4</v>
      </c>
      <c r="E45">
        <f>((B45/A45)-1)/C45</f>
        <v>3.6764705882352949E-3</v>
      </c>
    </row>
    <row r="46" spans="1:6" x14ac:dyDescent="0.2">
      <c r="A46">
        <v>69</v>
      </c>
      <c r="B46">
        <v>82</v>
      </c>
      <c r="C46">
        <v>50</v>
      </c>
      <c r="D46" s="1" t="s">
        <v>4</v>
      </c>
      <c r="E46" s="1">
        <f>((B46/A46)-1)/C46</f>
        <v>3.7681159420289846E-3</v>
      </c>
      <c r="F46">
        <f>GEOMEAN(E46:E47)</f>
        <v>3.806934938134404E-3</v>
      </c>
    </row>
    <row r="47" spans="1:6" x14ac:dyDescent="0.2">
      <c r="A47">
        <v>65</v>
      </c>
      <c r="B47">
        <v>82</v>
      </c>
      <c r="C47">
        <v>68</v>
      </c>
      <c r="D47" s="1" t="s">
        <v>5</v>
      </c>
      <c r="E47" s="1">
        <f>((B47/A47)-1)/C47</f>
        <v>3.8461538461538455E-3</v>
      </c>
    </row>
    <row r="48" spans="1:6" x14ac:dyDescent="0.2">
      <c r="A48">
        <v>60</v>
      </c>
      <c r="B48">
        <v>67</v>
      </c>
      <c r="C48">
        <v>30</v>
      </c>
      <c r="D48" s="1" t="s">
        <v>4</v>
      </c>
      <c r="E48" s="1">
        <f>((B48/A48)-1)/C48</f>
        <v>3.8888888888888901E-3</v>
      </c>
      <c r="F48">
        <f>GEOMEAN(E48:E49)</f>
        <v>3.9069975265397473E-3</v>
      </c>
    </row>
    <row r="49" spans="1:6" x14ac:dyDescent="0.2">
      <c r="A49">
        <v>61</v>
      </c>
      <c r="B49">
        <v>78</v>
      </c>
      <c r="C49">
        <v>71</v>
      </c>
      <c r="D49" s="1" t="s">
        <v>5</v>
      </c>
      <c r="E49" s="1">
        <f>((B49/A49)-1)/C49</f>
        <v>3.9251904871854086E-3</v>
      </c>
    </row>
    <row r="50" spans="1:6" x14ac:dyDescent="0.2">
      <c r="A50">
        <v>17</v>
      </c>
      <c r="B50">
        <v>20</v>
      </c>
      <c r="C50">
        <v>44</v>
      </c>
      <c r="D50" t="s">
        <v>5</v>
      </c>
      <c r="E50">
        <f>((B50/A50)-1)/C50</f>
        <v>4.0106951871657767E-3</v>
      </c>
    </row>
    <row r="51" spans="1:6" x14ac:dyDescent="0.2">
      <c r="A51">
        <v>74</v>
      </c>
      <c r="B51">
        <v>99</v>
      </c>
      <c r="C51">
        <v>80</v>
      </c>
      <c r="D51" t="s">
        <v>5</v>
      </c>
      <c r="E51">
        <f>((B51/A51)-1)/C51</f>
        <v>4.2229729729729741E-3</v>
      </c>
    </row>
    <row r="52" spans="1:6" x14ac:dyDescent="0.2">
      <c r="A52">
        <v>45</v>
      </c>
      <c r="B52">
        <v>64</v>
      </c>
      <c r="C52">
        <v>99</v>
      </c>
      <c r="D52" t="s">
        <v>5</v>
      </c>
      <c r="E52">
        <f>((B52/A52)-1)/C52</f>
        <v>4.2648709315375984E-3</v>
      </c>
    </row>
    <row r="53" spans="1:6" x14ac:dyDescent="0.2">
      <c r="A53">
        <v>49</v>
      </c>
      <c r="B53">
        <v>70</v>
      </c>
      <c r="C53">
        <v>89</v>
      </c>
      <c r="D53" t="s">
        <v>5</v>
      </c>
      <c r="E53">
        <f>((B53/A53)-1)/C53</f>
        <v>4.8154093097913329E-3</v>
      </c>
    </row>
    <row r="54" spans="1:6" x14ac:dyDescent="0.2">
      <c r="A54">
        <v>24</v>
      </c>
      <c r="B54">
        <v>34</v>
      </c>
      <c r="C54">
        <v>86</v>
      </c>
      <c r="D54" s="1" t="s">
        <v>4</v>
      </c>
      <c r="E54" s="1">
        <f>((B54/A54)-1)/C54</f>
        <v>4.8449612403100783E-3</v>
      </c>
      <c r="F54">
        <f>GEOMEAN(E54:E55)</f>
        <v>4.9931142502282382E-3</v>
      </c>
    </row>
    <row r="55" spans="1:6" x14ac:dyDescent="0.2">
      <c r="A55">
        <v>53</v>
      </c>
      <c r="B55">
        <v>77</v>
      </c>
      <c r="C55">
        <v>88</v>
      </c>
      <c r="D55" s="1" t="s">
        <v>5</v>
      </c>
      <c r="E55" s="1">
        <f>((B55/A55)-1)/C55</f>
        <v>5.1457975986277859E-3</v>
      </c>
    </row>
    <row r="56" spans="1:6" x14ac:dyDescent="0.2">
      <c r="A56">
        <v>21</v>
      </c>
      <c r="B56">
        <v>26</v>
      </c>
      <c r="C56">
        <v>46</v>
      </c>
      <c r="D56" t="s">
        <v>5</v>
      </c>
      <c r="E56">
        <f>((B56/A56)-1)/C56</f>
        <v>5.1759834368530029E-3</v>
      </c>
    </row>
    <row r="57" spans="1:6" x14ac:dyDescent="0.2">
      <c r="A57">
        <v>17</v>
      </c>
      <c r="B57">
        <v>24</v>
      </c>
      <c r="C57">
        <v>76</v>
      </c>
      <c r="D57" t="s">
        <v>5</v>
      </c>
      <c r="E57">
        <f>((B57/A57)-1)/C57</f>
        <v>5.4179566563467502E-3</v>
      </c>
    </row>
    <row r="58" spans="1:6" x14ac:dyDescent="0.2">
      <c r="A58">
        <v>65</v>
      </c>
      <c r="B58">
        <v>82</v>
      </c>
      <c r="C58">
        <v>47</v>
      </c>
      <c r="D58" t="s">
        <v>5</v>
      </c>
      <c r="E58">
        <f>((B58/A58)-1)/C58</f>
        <v>5.5646481178396063E-3</v>
      </c>
    </row>
    <row r="59" spans="1:6" x14ac:dyDescent="0.2">
      <c r="A59">
        <v>80</v>
      </c>
      <c r="B59">
        <v>99</v>
      </c>
      <c r="C59">
        <v>42</v>
      </c>
      <c r="D59" t="s">
        <v>5</v>
      </c>
      <c r="E59">
        <f>((B59/A59)-1)/C59</f>
        <v>5.6547619047619055E-3</v>
      </c>
    </row>
    <row r="60" spans="1:6" x14ac:dyDescent="0.2">
      <c r="A60">
        <v>34</v>
      </c>
      <c r="B60">
        <v>52</v>
      </c>
      <c r="C60">
        <v>91</v>
      </c>
      <c r="D60" t="s">
        <v>5</v>
      </c>
      <c r="E60">
        <f>((B60/A60)-1)/C60</f>
        <v>5.8177117000646405E-3</v>
      </c>
    </row>
    <row r="61" spans="1:6" x14ac:dyDescent="0.2">
      <c r="A61">
        <v>40</v>
      </c>
      <c r="B61">
        <v>55</v>
      </c>
      <c r="C61">
        <v>62</v>
      </c>
      <c r="D61" t="s">
        <v>5</v>
      </c>
      <c r="E61">
        <f>((B61/A61)-1)/C61</f>
        <v>6.0483870967741934E-3</v>
      </c>
    </row>
    <row r="62" spans="1:6" x14ac:dyDescent="0.2">
      <c r="A62">
        <v>37</v>
      </c>
      <c r="B62">
        <v>49</v>
      </c>
      <c r="C62">
        <v>53</v>
      </c>
      <c r="D62" s="1" t="s">
        <v>4</v>
      </c>
      <c r="E62" s="1">
        <f>((B62/A62)-1)/C62</f>
        <v>6.1193268740438551E-3</v>
      </c>
      <c r="F62">
        <f>GEOMEAN(E62:E63)</f>
        <v>6.2681271630290625E-3</v>
      </c>
    </row>
    <row r="63" spans="1:6" x14ac:dyDescent="0.2">
      <c r="A63">
        <v>28</v>
      </c>
      <c r="B63">
        <v>44</v>
      </c>
      <c r="C63">
        <v>89</v>
      </c>
      <c r="D63" s="1" t="s">
        <v>5</v>
      </c>
      <c r="E63" s="1">
        <f>((B63/A63)-1)/C63</f>
        <v>6.420545746388443E-3</v>
      </c>
    </row>
    <row r="64" spans="1:6" x14ac:dyDescent="0.2">
      <c r="A64">
        <v>75</v>
      </c>
      <c r="B64">
        <v>97</v>
      </c>
      <c r="C64">
        <v>44</v>
      </c>
      <c r="D64" t="s">
        <v>5</v>
      </c>
      <c r="E64">
        <f>((B64/A64)-1)/C64</f>
        <v>6.6666666666666645E-3</v>
      </c>
    </row>
    <row r="65" spans="1:6" x14ac:dyDescent="0.2">
      <c r="A65">
        <v>73</v>
      </c>
      <c r="B65">
        <v>94</v>
      </c>
      <c r="C65">
        <v>42</v>
      </c>
      <c r="D65" s="1" t="s">
        <v>4</v>
      </c>
      <c r="E65" s="1">
        <f>((B65/A65)-1)/C65</f>
        <v>6.849315068493152E-3</v>
      </c>
      <c r="F65">
        <f>GEOMEAN(E65:E66)</f>
        <v>6.9469962271595164E-3</v>
      </c>
    </row>
    <row r="66" spans="1:6" x14ac:dyDescent="0.2">
      <c r="A66">
        <v>45</v>
      </c>
      <c r="B66">
        <v>58</v>
      </c>
      <c r="C66">
        <v>41</v>
      </c>
      <c r="D66" s="1" t="s">
        <v>5</v>
      </c>
      <c r="E66" s="1">
        <f>((B66/A66)-1)/C66</f>
        <v>7.0460704607046088E-3</v>
      </c>
    </row>
    <row r="67" spans="1:6" x14ac:dyDescent="0.2">
      <c r="A67">
        <v>33</v>
      </c>
      <c r="B67">
        <v>53</v>
      </c>
      <c r="C67">
        <v>84</v>
      </c>
      <c r="D67" t="s">
        <v>5</v>
      </c>
      <c r="E67">
        <f>((B67/A67)-1)/C67</f>
        <v>7.2150072150072141E-3</v>
      </c>
    </row>
    <row r="68" spans="1:6" x14ac:dyDescent="0.2">
      <c r="A68">
        <v>38</v>
      </c>
      <c r="B68">
        <v>53</v>
      </c>
      <c r="C68">
        <v>54</v>
      </c>
      <c r="D68" t="s">
        <v>5</v>
      </c>
      <c r="E68">
        <f>((B68/A68)-1)/C68</f>
        <v>7.3099415204678341E-3</v>
      </c>
    </row>
    <row r="69" spans="1:6" x14ac:dyDescent="0.2">
      <c r="A69">
        <v>71</v>
      </c>
      <c r="B69">
        <v>95</v>
      </c>
      <c r="C69">
        <v>46</v>
      </c>
      <c r="D69" t="s">
        <v>5</v>
      </c>
      <c r="E69">
        <f>((B69/A69)-1)/C69</f>
        <v>7.3484384568279241E-3</v>
      </c>
    </row>
    <row r="70" spans="1:6" x14ac:dyDescent="0.2">
      <c r="A70">
        <v>12</v>
      </c>
      <c r="B70">
        <v>19</v>
      </c>
      <c r="C70">
        <v>79</v>
      </c>
      <c r="D70" t="s">
        <v>5</v>
      </c>
      <c r="E70">
        <f>((B70/A70)-1)/C70</f>
        <v>7.3839662447257376E-3</v>
      </c>
    </row>
    <row r="71" spans="1:6" x14ac:dyDescent="0.2">
      <c r="A71">
        <v>68</v>
      </c>
      <c r="B71">
        <v>90</v>
      </c>
      <c r="C71">
        <v>41</v>
      </c>
      <c r="D71" t="s">
        <v>5</v>
      </c>
      <c r="E71">
        <f>((B71/A71)-1)/C71</f>
        <v>7.8909612625538018E-3</v>
      </c>
    </row>
    <row r="72" spans="1:6" x14ac:dyDescent="0.2">
      <c r="A72">
        <v>36</v>
      </c>
      <c r="B72">
        <v>61</v>
      </c>
      <c r="C72">
        <v>86</v>
      </c>
      <c r="D72" t="s">
        <v>5</v>
      </c>
      <c r="E72">
        <f>((B72/A72)-1)/C72</f>
        <v>8.0749354005167952E-3</v>
      </c>
    </row>
    <row r="73" spans="1:6" x14ac:dyDescent="0.2">
      <c r="A73">
        <v>11</v>
      </c>
      <c r="B73">
        <v>17</v>
      </c>
      <c r="C73">
        <v>63</v>
      </c>
      <c r="D73" t="s">
        <v>4</v>
      </c>
      <c r="E73">
        <f>((B73/A73)-1)/C73</f>
        <v>8.658008658008658E-3</v>
      </c>
    </row>
    <row r="74" spans="1:6" x14ac:dyDescent="0.2">
      <c r="A74">
        <v>63</v>
      </c>
      <c r="B74">
        <v>87</v>
      </c>
      <c r="C74">
        <v>42</v>
      </c>
      <c r="D74" s="1" t="s">
        <v>4</v>
      </c>
      <c r="E74" s="1">
        <f>((B74/A74)-1)/C74</f>
        <v>9.0702947845804991E-3</v>
      </c>
      <c r="F74">
        <f>GEOMEAN(E74:E75)</f>
        <v>9.1722554732014613E-3</v>
      </c>
    </row>
    <row r="75" spans="1:6" x14ac:dyDescent="0.2">
      <c r="A75">
        <v>25</v>
      </c>
      <c r="B75">
        <v>41</v>
      </c>
      <c r="C75">
        <v>69</v>
      </c>
      <c r="D75" s="1" t="s">
        <v>5</v>
      </c>
      <c r="E75" s="1">
        <f>((B75/A75)-1)/C75</f>
        <v>9.2753623188405777E-3</v>
      </c>
    </row>
    <row r="76" spans="1:6" x14ac:dyDescent="0.2">
      <c r="A76">
        <v>59</v>
      </c>
      <c r="B76">
        <v>82</v>
      </c>
      <c r="C76">
        <v>40</v>
      </c>
      <c r="D76" t="s">
        <v>5</v>
      </c>
      <c r="E76">
        <f>((B76/A76)-1)/C76</f>
        <v>9.7457627118644093E-3</v>
      </c>
    </row>
    <row r="77" spans="1:6" x14ac:dyDescent="0.2">
      <c r="A77">
        <v>27</v>
      </c>
      <c r="B77">
        <v>39</v>
      </c>
      <c r="C77">
        <v>43</v>
      </c>
      <c r="D77" t="s">
        <v>4</v>
      </c>
      <c r="E77">
        <f>((B77/A77)-1)/C77</f>
        <v>1.0335917312661497E-2</v>
      </c>
    </row>
    <row r="78" spans="1:6" x14ac:dyDescent="0.2">
      <c r="A78">
        <v>59</v>
      </c>
      <c r="B78">
        <v>67</v>
      </c>
      <c r="C78">
        <v>13</v>
      </c>
      <c r="D78" s="1" t="s">
        <v>4</v>
      </c>
      <c r="E78" s="1">
        <f>((B78/A78)-1)/C78</f>
        <v>1.0430247718383318E-2</v>
      </c>
      <c r="F78">
        <f>GEOMEAN(E78:E79)</f>
        <v>1.0492714579631036E-2</v>
      </c>
    </row>
    <row r="79" spans="1:6" x14ac:dyDescent="0.2">
      <c r="A79">
        <v>20</v>
      </c>
      <c r="B79">
        <v>39</v>
      </c>
      <c r="C79">
        <v>90</v>
      </c>
      <c r="D79" s="1" t="s">
        <v>5</v>
      </c>
      <c r="E79" s="1">
        <f>((B79/A79)-1)/C79</f>
        <v>1.0555555555555556E-2</v>
      </c>
    </row>
    <row r="80" spans="1:6" x14ac:dyDescent="0.2">
      <c r="A80">
        <v>62</v>
      </c>
      <c r="B80">
        <v>86</v>
      </c>
      <c r="C80">
        <v>35</v>
      </c>
      <c r="D80" t="s">
        <v>5</v>
      </c>
      <c r="E80">
        <f>((B80/A80)-1)/C80</f>
        <v>1.1059907834101386E-2</v>
      </c>
    </row>
    <row r="81" spans="1:6" x14ac:dyDescent="0.2">
      <c r="A81">
        <v>42</v>
      </c>
      <c r="B81">
        <v>58</v>
      </c>
      <c r="C81">
        <v>32</v>
      </c>
      <c r="D81" t="s">
        <v>4</v>
      </c>
      <c r="E81">
        <f>((B81/A81)-1)/C81</f>
        <v>1.1904761904761904E-2</v>
      </c>
    </row>
    <row r="82" spans="1:6" x14ac:dyDescent="0.2">
      <c r="A82">
        <v>13</v>
      </c>
      <c r="B82">
        <v>18</v>
      </c>
      <c r="C82">
        <v>32</v>
      </c>
      <c r="D82" s="1" t="s">
        <v>4</v>
      </c>
      <c r="E82" s="1">
        <f>((B82/A82)-1)/C82</f>
        <v>1.2019230769230768E-2</v>
      </c>
      <c r="F82">
        <f>GEOMEAN(E82:E83)</f>
        <v>1.2040298674565323E-2</v>
      </c>
    </row>
    <row r="83" spans="1:6" x14ac:dyDescent="0.2">
      <c r="A83">
        <v>24</v>
      </c>
      <c r="B83">
        <v>35</v>
      </c>
      <c r="C83">
        <v>38</v>
      </c>
      <c r="D83" s="1" t="s">
        <v>5</v>
      </c>
      <c r="E83" s="1">
        <f>((B83/A83)-1)/C83</f>
        <v>1.2061403508771927E-2</v>
      </c>
    </row>
    <row r="84" spans="1:6" x14ac:dyDescent="0.2">
      <c r="A84">
        <v>67</v>
      </c>
      <c r="B84">
        <v>87</v>
      </c>
      <c r="C84">
        <v>21</v>
      </c>
      <c r="D84" t="s">
        <v>5</v>
      </c>
      <c r="E84">
        <f>((B84/A84)-1)/C84</f>
        <v>1.421464108031272E-2</v>
      </c>
    </row>
    <row r="85" spans="1:6" x14ac:dyDescent="0.2">
      <c r="A85">
        <v>10</v>
      </c>
      <c r="B85">
        <v>21</v>
      </c>
      <c r="C85">
        <v>66</v>
      </c>
      <c r="D85" t="s">
        <v>5</v>
      </c>
      <c r="E85">
        <f>((B85/A85)-1)/C85</f>
        <v>1.6666666666666666E-2</v>
      </c>
    </row>
    <row r="86" spans="1:6" x14ac:dyDescent="0.2">
      <c r="A86">
        <v>30</v>
      </c>
      <c r="B86">
        <v>46</v>
      </c>
      <c r="C86">
        <v>29</v>
      </c>
      <c r="D86" t="s">
        <v>5</v>
      </c>
      <c r="E86">
        <f>((B86/A86)-1)/C86</f>
        <v>1.8390804597701153E-2</v>
      </c>
    </row>
    <row r="87" spans="1:6" x14ac:dyDescent="0.2">
      <c r="A87">
        <v>17</v>
      </c>
      <c r="B87">
        <v>41</v>
      </c>
      <c r="C87">
        <v>72</v>
      </c>
      <c r="D87" t="s">
        <v>5</v>
      </c>
      <c r="E87">
        <f>((B87/A87)-1)/C87</f>
        <v>1.9607843137254902E-2</v>
      </c>
    </row>
    <row r="88" spans="1:6" x14ac:dyDescent="0.2">
      <c r="A88">
        <v>17</v>
      </c>
      <c r="B88">
        <v>32</v>
      </c>
      <c r="C88">
        <v>44</v>
      </c>
      <c r="D88" t="s">
        <v>5</v>
      </c>
      <c r="E88">
        <f>((B88/A88)-1)/C88</f>
        <v>2.0053475935828877E-2</v>
      </c>
    </row>
    <row r="89" spans="1:6" x14ac:dyDescent="0.2">
      <c r="A89">
        <v>13</v>
      </c>
      <c r="B89">
        <v>35</v>
      </c>
      <c r="C89">
        <v>72</v>
      </c>
      <c r="D89" t="s">
        <v>5</v>
      </c>
      <c r="E89">
        <f>((B89/A89)-1)/C89</f>
        <v>2.3504273504273508E-2</v>
      </c>
    </row>
    <row r="90" spans="1:6" x14ac:dyDescent="0.2">
      <c r="A90">
        <v>12</v>
      </c>
      <c r="B90">
        <v>32</v>
      </c>
      <c r="C90">
        <v>68</v>
      </c>
      <c r="D90" t="s">
        <v>5</v>
      </c>
      <c r="E90">
        <f>((B90/A90)-1)/C90</f>
        <v>2.4509803921568624E-2</v>
      </c>
    </row>
    <row r="91" spans="1:6" x14ac:dyDescent="0.2">
      <c r="A91">
        <v>13</v>
      </c>
      <c r="B91">
        <v>38</v>
      </c>
      <c r="C91">
        <v>69</v>
      </c>
      <c r="D91" t="s">
        <v>5</v>
      </c>
      <c r="E91">
        <f>((B91/A91)-1)/C91</f>
        <v>2.7870680044593085E-2</v>
      </c>
    </row>
    <row r="92" spans="1:6" x14ac:dyDescent="0.2">
      <c r="A92">
        <v>54</v>
      </c>
      <c r="B92">
        <v>79</v>
      </c>
      <c r="C92">
        <v>15</v>
      </c>
      <c r="D92" t="s">
        <v>5</v>
      </c>
      <c r="E92">
        <f>((B92/A92)-1)/C92</f>
        <v>3.0864197530864203E-2</v>
      </c>
    </row>
    <row r="93" spans="1:6" x14ac:dyDescent="0.2">
      <c r="A93">
        <v>41</v>
      </c>
      <c r="B93">
        <v>64</v>
      </c>
      <c r="C93">
        <v>18</v>
      </c>
      <c r="D93" t="s">
        <v>5</v>
      </c>
      <c r="E93">
        <f>((B93/A93)-1)/C93</f>
        <v>3.1165311653116534E-2</v>
      </c>
    </row>
    <row r="94" spans="1:6" x14ac:dyDescent="0.2">
      <c r="A94">
        <v>27</v>
      </c>
      <c r="B94">
        <v>50</v>
      </c>
      <c r="C94">
        <v>21</v>
      </c>
      <c r="D94" t="s">
        <v>5</v>
      </c>
      <c r="E94">
        <f>((B94/A94)-1)/C94</f>
        <v>4.0564373897707229E-2</v>
      </c>
    </row>
    <row r="95" spans="1:6" x14ac:dyDescent="0.2">
      <c r="A95">
        <v>23</v>
      </c>
      <c r="B95">
        <v>41</v>
      </c>
      <c r="C95">
        <v>18</v>
      </c>
      <c r="D95" t="s">
        <v>5</v>
      </c>
      <c r="E95">
        <f>((B95/A95)-1)/C95</f>
        <v>4.3478260869565216E-2</v>
      </c>
    </row>
    <row r="96" spans="1:6" x14ac:dyDescent="0.2">
      <c r="A96">
        <v>12</v>
      </c>
      <c r="B96">
        <v>32</v>
      </c>
      <c r="C96">
        <v>33</v>
      </c>
      <c r="D96" t="s">
        <v>5</v>
      </c>
      <c r="E96">
        <f>((B96/A96)-1)/C96</f>
        <v>5.0505050505050497E-2</v>
      </c>
    </row>
    <row r="97" spans="1:5" x14ac:dyDescent="0.2">
      <c r="A97">
        <v>14</v>
      </c>
      <c r="B97">
        <v>37</v>
      </c>
      <c r="C97">
        <v>23</v>
      </c>
      <c r="D97" t="s">
        <v>5</v>
      </c>
      <c r="E97">
        <f>((B97/A97)-1)/C97</f>
        <v>7.1428571428571425E-2</v>
      </c>
    </row>
    <row r="98" spans="1:5" x14ac:dyDescent="0.2">
      <c r="A98">
        <v>15</v>
      </c>
      <c r="B98">
        <v>35</v>
      </c>
      <c r="C98">
        <v>13</v>
      </c>
      <c r="D98" t="s">
        <v>5</v>
      </c>
      <c r="E98">
        <f>((B98/A98)-1)/C98</f>
        <v>0.10256410256410257</v>
      </c>
    </row>
    <row r="99" spans="1:5" x14ac:dyDescent="0.2">
      <c r="A99">
        <v>18</v>
      </c>
      <c r="B99">
        <v>42</v>
      </c>
      <c r="C99">
        <v>10</v>
      </c>
      <c r="D99" t="s">
        <v>5</v>
      </c>
      <c r="E99">
        <f>((B99/A99)-1)/C99</f>
        <v>0.13333333333333336</v>
      </c>
    </row>
    <row r="100" spans="1:5" x14ac:dyDescent="0.2">
      <c r="A100">
        <v>10</v>
      </c>
      <c r="B100">
        <v>29</v>
      </c>
      <c r="C100">
        <v>11</v>
      </c>
      <c r="D100" t="s">
        <v>5</v>
      </c>
      <c r="E100">
        <f>((B100/A100)-1)/C100</f>
        <v>0.17272727272727273</v>
      </c>
    </row>
    <row r="101" spans="1:5" x14ac:dyDescent="0.2">
      <c r="A101">
        <v>11</v>
      </c>
      <c r="B101">
        <v>30</v>
      </c>
      <c r="C101">
        <v>7</v>
      </c>
      <c r="D101" t="s">
        <v>5</v>
      </c>
      <c r="E101">
        <f>((B101/A101)-1)/C101</f>
        <v>0.24675324675324672</v>
      </c>
    </row>
  </sheetData>
  <sortState xmlns:xlrd2="http://schemas.microsoft.com/office/spreadsheetml/2017/richdata2" ref="A2:E101">
    <sortCondition ref="E1:E10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B0CF5-808F-F54F-A19E-74AB9C7A01AC}">
  <dimension ref="A1:I101"/>
  <sheetViews>
    <sheetView zoomScale="131" workbookViewId="0">
      <selection sqref="A1:E1"/>
    </sheetView>
  </sheetViews>
  <sheetFormatPr baseColWidth="10" defaultRowHeight="16" x14ac:dyDescent="0.2"/>
  <cols>
    <col min="1" max="1" width="12.5" bestFit="1" customWidth="1"/>
    <col min="2" max="2" width="13" bestFit="1" customWidth="1"/>
    <col min="4" max="4" width="12.33203125" bestFit="1" customWidth="1"/>
    <col min="6" max="6" width="10.83203125" style="2"/>
    <col min="8" max="8" width="19.33203125" style="2" bestFit="1" customWidth="1"/>
  </cols>
  <sheetData>
    <row r="1" spans="1:9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6</v>
      </c>
      <c r="F1" s="2" t="s">
        <v>8</v>
      </c>
    </row>
    <row r="2" spans="1:9" x14ac:dyDescent="0.2">
      <c r="A2">
        <v>78</v>
      </c>
      <c r="B2">
        <v>80</v>
      </c>
      <c r="C2">
        <v>162</v>
      </c>
      <c r="D2" t="s">
        <v>4</v>
      </c>
      <c r="E2">
        <f>((B2/A2)-1)/C2</f>
        <v>1.5827793605571326E-4</v>
      </c>
      <c r="H2" s="3" t="s">
        <v>7</v>
      </c>
      <c r="I2" s="1">
        <f>AVERAGE(F9,F27,F33,F35,F38,F45,F50,F54,F56,F66,F71,F73,F78,F83)</f>
        <v>5.6016077947307688E-3</v>
      </c>
    </row>
    <row r="3" spans="1:9" x14ac:dyDescent="0.2">
      <c r="A3">
        <v>62</v>
      </c>
      <c r="B3">
        <v>64</v>
      </c>
      <c r="C3">
        <v>97</v>
      </c>
      <c r="D3" t="s">
        <v>4</v>
      </c>
      <c r="E3">
        <f>((B3/A3)-1)/C3</f>
        <v>3.3255736614565983E-4</v>
      </c>
    </row>
    <row r="4" spans="1:9" x14ac:dyDescent="0.2">
      <c r="A4">
        <v>62</v>
      </c>
      <c r="B4">
        <v>64</v>
      </c>
      <c r="C4">
        <v>93</v>
      </c>
      <c r="D4" t="s">
        <v>4</v>
      </c>
      <c r="E4">
        <f>((B4/A4)-1)/C4</f>
        <v>3.4686090877558066E-4</v>
      </c>
    </row>
    <row r="5" spans="1:9" x14ac:dyDescent="0.2">
      <c r="A5">
        <v>46</v>
      </c>
      <c r="B5">
        <v>47</v>
      </c>
      <c r="C5">
        <v>60</v>
      </c>
      <c r="D5" t="s">
        <v>4</v>
      </c>
      <c r="E5">
        <f>((B5/A5)-1)/C5</f>
        <v>3.6231884057971178E-4</v>
      </c>
    </row>
    <row r="6" spans="1:9" x14ac:dyDescent="0.2">
      <c r="A6">
        <v>44</v>
      </c>
      <c r="B6">
        <v>45</v>
      </c>
      <c r="C6">
        <v>56</v>
      </c>
      <c r="D6" t="s">
        <v>4</v>
      </c>
      <c r="E6">
        <f>((B6/A6)-1)/C6</f>
        <v>4.0584415584415549E-4</v>
      </c>
    </row>
    <row r="7" spans="1:9" x14ac:dyDescent="0.2">
      <c r="A7">
        <v>77</v>
      </c>
      <c r="B7">
        <v>78</v>
      </c>
      <c r="C7">
        <v>23</v>
      </c>
      <c r="D7" t="s">
        <v>4</v>
      </c>
      <c r="E7">
        <f>((B7/A7)-1)/C7</f>
        <v>5.6465273856577745E-4</v>
      </c>
    </row>
    <row r="8" spans="1:9" x14ac:dyDescent="0.2">
      <c r="A8">
        <v>82</v>
      </c>
      <c r="B8">
        <v>88</v>
      </c>
      <c r="C8">
        <v>89</v>
      </c>
      <c r="D8" t="s">
        <v>4</v>
      </c>
      <c r="E8">
        <f>((B8/A8)-1)/C8</f>
        <v>8.2214305289120379E-4</v>
      </c>
    </row>
    <row r="9" spans="1:9" x14ac:dyDescent="0.2">
      <c r="A9">
        <v>67</v>
      </c>
      <c r="B9">
        <v>75</v>
      </c>
      <c r="C9">
        <v>119</v>
      </c>
      <c r="D9" s="1" t="s">
        <v>4</v>
      </c>
      <c r="E9" s="1">
        <f>((B9/A9)-1)/C9</f>
        <v>1.0033864291985443E-3</v>
      </c>
      <c r="F9" s="2">
        <f>GEOMEAN(E9:E10)</f>
        <v>1.0267688123730861E-3</v>
      </c>
    </row>
    <row r="10" spans="1:9" x14ac:dyDescent="0.2">
      <c r="A10">
        <v>81</v>
      </c>
      <c r="B10">
        <v>85</v>
      </c>
      <c r="C10">
        <v>47</v>
      </c>
      <c r="D10" s="1" t="s">
        <v>5</v>
      </c>
      <c r="E10" s="1">
        <f>((B10/A10)-1)/C10</f>
        <v>1.0506960861570789E-3</v>
      </c>
    </row>
    <row r="11" spans="1:9" x14ac:dyDescent="0.2">
      <c r="A11">
        <v>37</v>
      </c>
      <c r="B11">
        <v>39</v>
      </c>
      <c r="C11">
        <v>51</v>
      </c>
      <c r="D11" t="s">
        <v>4</v>
      </c>
      <c r="E11">
        <f>((B11/A11)-1)/C11</f>
        <v>1.0598834128245872E-3</v>
      </c>
    </row>
    <row r="12" spans="1:9" x14ac:dyDescent="0.2">
      <c r="A12">
        <v>84</v>
      </c>
      <c r="B12">
        <v>95</v>
      </c>
      <c r="C12">
        <v>97</v>
      </c>
      <c r="D12" t="s">
        <v>4</v>
      </c>
      <c r="E12">
        <f>((B12/A12)-1)/C12</f>
        <v>1.3500245459008343E-3</v>
      </c>
    </row>
    <row r="13" spans="1:9" x14ac:dyDescent="0.2">
      <c r="A13">
        <v>71</v>
      </c>
      <c r="B13">
        <v>72</v>
      </c>
      <c r="C13">
        <v>10</v>
      </c>
      <c r="D13" t="s">
        <v>4</v>
      </c>
      <c r="E13">
        <f>((B13/A13)-1)/C13</f>
        <v>1.4084507042253502E-3</v>
      </c>
    </row>
    <row r="14" spans="1:9" x14ac:dyDescent="0.2">
      <c r="A14">
        <v>81</v>
      </c>
      <c r="B14">
        <v>90</v>
      </c>
      <c r="C14">
        <v>71</v>
      </c>
      <c r="D14" t="s">
        <v>4</v>
      </c>
      <c r="E14">
        <f>((B14/A14)-1)/C14</f>
        <v>1.5649452269170586E-3</v>
      </c>
    </row>
    <row r="15" spans="1:9" x14ac:dyDescent="0.2">
      <c r="A15">
        <v>49</v>
      </c>
      <c r="B15">
        <v>56</v>
      </c>
      <c r="C15">
        <v>91</v>
      </c>
      <c r="D15" t="s">
        <v>4</v>
      </c>
      <c r="E15">
        <f>((B15/A15)-1)/C15</f>
        <v>1.5698587127158548E-3</v>
      </c>
    </row>
    <row r="16" spans="1:9" x14ac:dyDescent="0.2">
      <c r="A16">
        <v>53</v>
      </c>
      <c r="B16">
        <v>61</v>
      </c>
      <c r="C16">
        <v>95</v>
      </c>
      <c r="D16" t="s">
        <v>4</v>
      </c>
      <c r="E16">
        <f>((B16/A16)-1)/C16</f>
        <v>1.5888778550148953E-3</v>
      </c>
    </row>
    <row r="17" spans="1:6" x14ac:dyDescent="0.2">
      <c r="A17">
        <v>11</v>
      </c>
      <c r="B17">
        <v>12</v>
      </c>
      <c r="C17">
        <v>57</v>
      </c>
      <c r="D17" t="s">
        <v>4</v>
      </c>
      <c r="E17">
        <f>((B17/A17)-1)/C17</f>
        <v>1.5948963317384355E-3</v>
      </c>
    </row>
    <row r="18" spans="1:6" x14ac:dyDescent="0.2">
      <c r="A18">
        <v>85</v>
      </c>
      <c r="B18">
        <v>99</v>
      </c>
      <c r="C18">
        <v>98</v>
      </c>
      <c r="D18" t="s">
        <v>4</v>
      </c>
      <c r="E18">
        <f>((B18/A18)-1)/C18</f>
        <v>1.6806722689075638E-3</v>
      </c>
    </row>
    <row r="19" spans="1:6" x14ac:dyDescent="0.2">
      <c r="A19">
        <v>60</v>
      </c>
      <c r="B19">
        <v>67</v>
      </c>
      <c r="C19">
        <v>61</v>
      </c>
      <c r="D19" t="s">
        <v>4</v>
      </c>
      <c r="E19">
        <f>((B19/A19)-1)/C19</f>
        <v>1.9125683060109294E-3</v>
      </c>
    </row>
    <row r="20" spans="1:6" x14ac:dyDescent="0.2">
      <c r="A20">
        <v>69</v>
      </c>
      <c r="B20">
        <v>76</v>
      </c>
      <c r="C20">
        <v>53</v>
      </c>
      <c r="D20" t="s">
        <v>4</v>
      </c>
      <c r="E20">
        <f>((B20/A20)-1)/C20</f>
        <v>1.9141372709871481E-3</v>
      </c>
    </row>
    <row r="21" spans="1:6" x14ac:dyDescent="0.2">
      <c r="A21">
        <v>33</v>
      </c>
      <c r="B21">
        <v>38</v>
      </c>
      <c r="C21">
        <v>79</v>
      </c>
      <c r="D21" t="s">
        <v>4</v>
      </c>
      <c r="E21">
        <f>((B21/A21)-1)/C21</f>
        <v>1.9179133103183748E-3</v>
      </c>
    </row>
    <row r="22" spans="1:6" x14ac:dyDescent="0.2">
      <c r="A22">
        <v>87</v>
      </c>
      <c r="B22">
        <v>99</v>
      </c>
      <c r="C22">
        <v>71</v>
      </c>
      <c r="D22" t="s">
        <v>4</v>
      </c>
      <c r="E22">
        <f>((B22/A22)-1)/C22</f>
        <v>1.9426906265177278E-3</v>
      </c>
    </row>
    <row r="23" spans="1:6" x14ac:dyDescent="0.2">
      <c r="A23">
        <v>62</v>
      </c>
      <c r="B23">
        <v>74</v>
      </c>
      <c r="C23">
        <v>99</v>
      </c>
      <c r="D23" t="s">
        <v>4</v>
      </c>
      <c r="E23">
        <f>((B23/A23)-1)/C23</f>
        <v>1.9550342130987297E-3</v>
      </c>
    </row>
    <row r="24" spans="1:6" x14ac:dyDescent="0.2">
      <c r="A24">
        <v>83</v>
      </c>
      <c r="B24">
        <v>87</v>
      </c>
      <c r="C24">
        <v>23</v>
      </c>
      <c r="D24" t="s">
        <v>4</v>
      </c>
      <c r="E24">
        <f>((B24/A24)-1)/C24</f>
        <v>2.0953378732320557E-3</v>
      </c>
    </row>
    <row r="25" spans="1:6" x14ac:dyDescent="0.2">
      <c r="A25">
        <v>37</v>
      </c>
      <c r="B25">
        <v>44</v>
      </c>
      <c r="C25">
        <v>82</v>
      </c>
      <c r="D25" t="s">
        <v>4</v>
      </c>
      <c r="E25">
        <f>((B25/A25)-1)/C25</f>
        <v>2.3071852340145033E-3</v>
      </c>
    </row>
    <row r="26" spans="1:6" x14ac:dyDescent="0.2">
      <c r="A26">
        <v>89</v>
      </c>
      <c r="B26">
        <v>98</v>
      </c>
      <c r="C26">
        <v>42</v>
      </c>
      <c r="D26" t="s">
        <v>4</v>
      </c>
      <c r="E26">
        <f>((B26/A26)-1)/C26</f>
        <v>2.4077046548956669E-3</v>
      </c>
    </row>
    <row r="27" spans="1:6" x14ac:dyDescent="0.2">
      <c r="A27">
        <v>58</v>
      </c>
      <c r="B27">
        <v>68</v>
      </c>
      <c r="C27">
        <v>69</v>
      </c>
      <c r="D27" s="1" t="s">
        <v>4</v>
      </c>
      <c r="E27" s="1">
        <f>((B27/A27)-1)/C27</f>
        <v>2.4987506246876546E-3</v>
      </c>
      <c r="F27" s="2">
        <f>GEOMEAN(E27:E28)</f>
        <v>2.499375234277386E-3</v>
      </c>
    </row>
    <row r="28" spans="1:6" x14ac:dyDescent="0.2">
      <c r="A28">
        <v>80</v>
      </c>
      <c r="B28">
        <v>99</v>
      </c>
      <c r="C28">
        <v>95</v>
      </c>
      <c r="D28" s="1" t="s">
        <v>5</v>
      </c>
      <c r="E28" s="1">
        <f>((B28/A28)-1)/C28</f>
        <v>2.5000000000000005E-3</v>
      </c>
    </row>
    <row r="29" spans="1:6" x14ac:dyDescent="0.2">
      <c r="A29">
        <v>49</v>
      </c>
      <c r="B29">
        <v>60</v>
      </c>
      <c r="C29">
        <v>89</v>
      </c>
      <c r="D29" t="s">
        <v>5</v>
      </c>
      <c r="E29">
        <f>((B29/A29)-1)/C29</f>
        <v>2.522357257509746E-3</v>
      </c>
    </row>
    <row r="30" spans="1:6" x14ac:dyDescent="0.2">
      <c r="A30">
        <v>36</v>
      </c>
      <c r="B30">
        <v>45</v>
      </c>
      <c r="C30">
        <v>88</v>
      </c>
      <c r="D30" t="s">
        <v>5</v>
      </c>
      <c r="E30">
        <f>((B30/A30)-1)/C30</f>
        <v>2.840909090909091E-3</v>
      </c>
    </row>
    <row r="31" spans="1:6" x14ac:dyDescent="0.2">
      <c r="A31">
        <v>39</v>
      </c>
      <c r="B31">
        <v>50</v>
      </c>
      <c r="C31">
        <v>98</v>
      </c>
      <c r="D31" t="s">
        <v>5</v>
      </c>
      <c r="E31">
        <f>((B31/A31)-1)/C31</f>
        <v>2.8780743066457361E-3</v>
      </c>
    </row>
    <row r="32" spans="1:6" x14ac:dyDescent="0.2">
      <c r="A32">
        <v>11</v>
      </c>
      <c r="B32">
        <v>13</v>
      </c>
      <c r="C32">
        <v>63</v>
      </c>
      <c r="D32" t="s">
        <v>4</v>
      </c>
      <c r="E32">
        <f>((B32/A32)-1)/C32</f>
        <v>2.8860028860028869E-3</v>
      </c>
    </row>
    <row r="33" spans="1:6" x14ac:dyDescent="0.2">
      <c r="A33">
        <v>33</v>
      </c>
      <c r="B33">
        <v>36</v>
      </c>
      <c r="C33">
        <v>31</v>
      </c>
      <c r="D33" s="1" t="s">
        <v>4</v>
      </c>
      <c r="E33" s="1">
        <f>((B33/A33)-1)/C33</f>
        <v>2.9325513196480912E-3</v>
      </c>
      <c r="F33" s="2">
        <f>GEOMEAN(E33:E34)</f>
        <v>2.9539972815561047E-3</v>
      </c>
    </row>
    <row r="34" spans="1:6" x14ac:dyDescent="0.2">
      <c r="A34">
        <v>71</v>
      </c>
      <c r="B34">
        <v>86</v>
      </c>
      <c r="C34">
        <v>71</v>
      </c>
      <c r="D34" s="1" t="s">
        <v>5</v>
      </c>
      <c r="E34" s="1">
        <f>((B34/A34)-1)/C34</f>
        <v>2.9756000793493345E-3</v>
      </c>
    </row>
    <row r="35" spans="1:6" x14ac:dyDescent="0.2">
      <c r="A35">
        <v>61</v>
      </c>
      <c r="B35">
        <v>76</v>
      </c>
      <c r="C35">
        <v>81</v>
      </c>
      <c r="D35" s="1" t="s">
        <v>4</v>
      </c>
      <c r="E35" s="1">
        <f>((B35/A35)-1)/C35</f>
        <v>3.0358227079538562E-3</v>
      </c>
      <c r="F35" s="2">
        <f>GEOMEAN(E35:E36)</f>
        <v>3.0504431977239899E-3</v>
      </c>
    </row>
    <row r="36" spans="1:6" x14ac:dyDescent="0.2">
      <c r="A36">
        <v>87</v>
      </c>
      <c r="B36">
        <v>99</v>
      </c>
      <c r="C36">
        <v>45</v>
      </c>
      <c r="D36" s="1" t="s">
        <v>5</v>
      </c>
      <c r="E36" s="1">
        <f>((B36/A36)-1)/C36</f>
        <v>3.0651340996168596E-3</v>
      </c>
    </row>
    <row r="37" spans="1:6" x14ac:dyDescent="0.2">
      <c r="A37">
        <v>60</v>
      </c>
      <c r="B37">
        <v>72</v>
      </c>
      <c r="C37">
        <v>64</v>
      </c>
      <c r="D37" t="s">
        <v>5</v>
      </c>
      <c r="E37">
        <f>((B37/A37)-1)/C37</f>
        <v>3.1249999999999993E-3</v>
      </c>
    </row>
    <row r="38" spans="1:6" x14ac:dyDescent="0.2">
      <c r="A38">
        <v>82</v>
      </c>
      <c r="B38">
        <v>89</v>
      </c>
      <c r="C38">
        <v>27</v>
      </c>
      <c r="D38" s="1" t="s">
        <v>4</v>
      </c>
      <c r="E38" s="1">
        <f>((B38/A38)-1)/C38</f>
        <v>3.1616982836495059E-3</v>
      </c>
      <c r="F38" s="2">
        <f>GEOMEAN(E38:E39)</f>
        <v>3.2049842820790807E-3</v>
      </c>
    </row>
    <row r="39" spans="1:6" x14ac:dyDescent="0.2">
      <c r="A39">
        <v>57</v>
      </c>
      <c r="B39">
        <v>72</v>
      </c>
      <c r="C39">
        <v>81</v>
      </c>
      <c r="D39" s="1" t="s">
        <v>5</v>
      </c>
      <c r="E39" s="1">
        <f>((B39/A39)-1)/C39</f>
        <v>3.248862897985704E-3</v>
      </c>
    </row>
    <row r="40" spans="1:6" x14ac:dyDescent="0.2">
      <c r="A40">
        <v>70</v>
      </c>
      <c r="B40">
        <v>91</v>
      </c>
      <c r="C40">
        <v>92</v>
      </c>
      <c r="D40" t="s">
        <v>5</v>
      </c>
      <c r="E40">
        <f>((B40/A40)-1)/C40</f>
        <v>3.260869565217392E-3</v>
      </c>
    </row>
    <row r="41" spans="1:6" x14ac:dyDescent="0.2">
      <c r="A41">
        <v>81</v>
      </c>
      <c r="B41">
        <v>93</v>
      </c>
      <c r="C41">
        <v>43</v>
      </c>
      <c r="D41" t="s">
        <v>5</v>
      </c>
      <c r="E41">
        <f>((B41/A41)-1)/C41</f>
        <v>3.4453057708871662E-3</v>
      </c>
    </row>
    <row r="42" spans="1:6" x14ac:dyDescent="0.2">
      <c r="A42">
        <v>87</v>
      </c>
      <c r="B42">
        <v>90</v>
      </c>
      <c r="C42">
        <v>10</v>
      </c>
      <c r="D42" t="s">
        <v>4</v>
      </c>
      <c r="E42">
        <f>((B42/A42)-1)/C42</f>
        <v>3.4482758620689724E-3</v>
      </c>
    </row>
    <row r="43" spans="1:6" x14ac:dyDescent="0.2">
      <c r="A43">
        <v>48</v>
      </c>
      <c r="B43">
        <v>50</v>
      </c>
      <c r="C43">
        <v>12</v>
      </c>
      <c r="D43" t="s">
        <v>4</v>
      </c>
      <c r="E43">
        <f>((B43/A43)-1)/C43</f>
        <v>3.4722222222222285E-3</v>
      </c>
    </row>
    <row r="44" spans="1:6" x14ac:dyDescent="0.2">
      <c r="A44">
        <v>41</v>
      </c>
      <c r="B44">
        <v>47</v>
      </c>
      <c r="C44">
        <v>41</v>
      </c>
      <c r="D44" t="s">
        <v>4</v>
      </c>
      <c r="E44">
        <f>((B44/A44)-1)/C44</f>
        <v>3.5693039857227818E-3</v>
      </c>
    </row>
    <row r="45" spans="1:6" x14ac:dyDescent="0.2">
      <c r="A45">
        <v>51</v>
      </c>
      <c r="B45">
        <v>54</v>
      </c>
      <c r="C45">
        <v>16</v>
      </c>
      <c r="D45" s="1" t="s">
        <v>4</v>
      </c>
      <c r="E45" s="1">
        <f>((B45/A45)-1)/C45</f>
        <v>3.6764705882352949E-3</v>
      </c>
      <c r="F45" s="2">
        <f>GEOMEAN(E45:E46)</f>
        <v>3.7220112081951195E-3</v>
      </c>
    </row>
    <row r="46" spans="1:6" x14ac:dyDescent="0.2">
      <c r="A46">
        <v>69</v>
      </c>
      <c r="B46">
        <v>82</v>
      </c>
      <c r="C46">
        <v>50</v>
      </c>
      <c r="D46" s="1" t="s">
        <v>5</v>
      </c>
      <c r="E46" s="1">
        <f>((B46/A46)-1)/C46</f>
        <v>3.7681159420289846E-3</v>
      </c>
    </row>
    <row r="47" spans="1:6" x14ac:dyDescent="0.2">
      <c r="A47">
        <v>65</v>
      </c>
      <c r="B47">
        <v>82</v>
      </c>
      <c r="C47">
        <v>68</v>
      </c>
      <c r="D47" t="s">
        <v>4</v>
      </c>
      <c r="E47">
        <f>((B47/A47)-1)/C47</f>
        <v>3.8461538461538455E-3</v>
      </c>
    </row>
    <row r="48" spans="1:6" x14ac:dyDescent="0.2">
      <c r="A48">
        <v>60</v>
      </c>
      <c r="B48">
        <v>67</v>
      </c>
      <c r="C48">
        <v>30</v>
      </c>
      <c r="D48" t="s">
        <v>4</v>
      </c>
      <c r="E48">
        <f>((B48/A48)-1)/C48</f>
        <v>3.8888888888888901E-3</v>
      </c>
    </row>
    <row r="49" spans="1:6" x14ac:dyDescent="0.2">
      <c r="A49">
        <v>61</v>
      </c>
      <c r="B49">
        <v>78</v>
      </c>
      <c r="C49">
        <v>71</v>
      </c>
      <c r="D49" t="s">
        <v>4</v>
      </c>
      <c r="E49">
        <f>((B49/A49)-1)/C49</f>
        <v>3.9251904871854086E-3</v>
      </c>
    </row>
    <row r="50" spans="1:6" x14ac:dyDescent="0.2">
      <c r="A50">
        <v>17</v>
      </c>
      <c r="B50">
        <v>20</v>
      </c>
      <c r="C50">
        <v>44</v>
      </c>
      <c r="D50" s="1" t="s">
        <v>4</v>
      </c>
      <c r="E50" s="1">
        <f>((B50/A50)-1)/C50</f>
        <v>4.0106951871657767E-3</v>
      </c>
      <c r="F50" s="2">
        <f>GEOMEAN(E50:E51)</f>
        <v>4.115465633222304E-3</v>
      </c>
    </row>
    <row r="51" spans="1:6" x14ac:dyDescent="0.2">
      <c r="A51">
        <v>74</v>
      </c>
      <c r="B51">
        <v>99</v>
      </c>
      <c r="C51">
        <v>80</v>
      </c>
      <c r="D51" s="1" t="s">
        <v>5</v>
      </c>
      <c r="E51" s="1">
        <f>((B51/A51)-1)/C51</f>
        <v>4.2229729729729741E-3</v>
      </c>
    </row>
    <row r="52" spans="1:6" x14ac:dyDescent="0.2">
      <c r="A52">
        <v>45</v>
      </c>
      <c r="B52">
        <v>64</v>
      </c>
      <c r="C52">
        <v>99</v>
      </c>
      <c r="D52" t="s">
        <v>5</v>
      </c>
      <c r="E52">
        <f>((B52/A52)-1)/C52</f>
        <v>4.2648709315375984E-3</v>
      </c>
    </row>
    <row r="53" spans="1:6" x14ac:dyDescent="0.2">
      <c r="A53">
        <v>49</v>
      </c>
      <c r="B53">
        <v>70</v>
      </c>
      <c r="C53">
        <v>89</v>
      </c>
      <c r="D53" t="s">
        <v>5</v>
      </c>
      <c r="E53">
        <f>((B53/A53)-1)/C53</f>
        <v>4.8154093097913329E-3</v>
      </c>
    </row>
    <row r="54" spans="1:6" x14ac:dyDescent="0.2">
      <c r="A54">
        <v>24</v>
      </c>
      <c r="B54">
        <v>34</v>
      </c>
      <c r="C54">
        <v>86</v>
      </c>
      <c r="D54" s="1" t="s">
        <v>4</v>
      </c>
      <c r="E54" s="1">
        <f>((B54/A54)-1)/C54</f>
        <v>4.8449612403100783E-3</v>
      </c>
      <c r="F54" s="2">
        <f>GEOMEAN(E54:E55)</f>
        <v>4.9931142502282382E-3</v>
      </c>
    </row>
    <row r="55" spans="1:6" x14ac:dyDescent="0.2">
      <c r="A55">
        <v>53</v>
      </c>
      <c r="B55">
        <v>77</v>
      </c>
      <c r="C55">
        <v>88</v>
      </c>
      <c r="D55" s="1" t="s">
        <v>5</v>
      </c>
      <c r="E55" s="1">
        <f>((B55/A55)-1)/C55</f>
        <v>5.1457975986277859E-3</v>
      </c>
    </row>
    <row r="56" spans="1:6" x14ac:dyDescent="0.2">
      <c r="A56">
        <v>21</v>
      </c>
      <c r="B56">
        <v>26</v>
      </c>
      <c r="C56">
        <v>46</v>
      </c>
      <c r="D56" s="1" t="s">
        <v>4</v>
      </c>
      <c r="E56" s="1">
        <f>((B56/A56)-1)/C56</f>
        <v>5.1759834368530029E-3</v>
      </c>
      <c r="F56" s="2">
        <f>GEOMEAN(E56:E57)</f>
        <v>5.2955881557045443E-3</v>
      </c>
    </row>
    <row r="57" spans="1:6" x14ac:dyDescent="0.2">
      <c r="A57">
        <v>17</v>
      </c>
      <c r="B57">
        <v>24</v>
      </c>
      <c r="C57">
        <v>76</v>
      </c>
      <c r="D57" s="1" t="s">
        <v>5</v>
      </c>
      <c r="E57" s="1">
        <f>((B57/A57)-1)/C57</f>
        <v>5.4179566563467502E-3</v>
      </c>
    </row>
    <row r="58" spans="1:6" x14ac:dyDescent="0.2">
      <c r="A58">
        <v>65</v>
      </c>
      <c r="B58">
        <v>82</v>
      </c>
      <c r="C58">
        <v>47</v>
      </c>
      <c r="D58" t="s">
        <v>5</v>
      </c>
      <c r="E58">
        <f>((B58/A58)-1)/C58</f>
        <v>5.5646481178396063E-3</v>
      </c>
    </row>
    <row r="59" spans="1:6" x14ac:dyDescent="0.2">
      <c r="A59">
        <v>80</v>
      </c>
      <c r="B59">
        <v>99</v>
      </c>
      <c r="C59">
        <v>42</v>
      </c>
      <c r="D59" t="s">
        <v>5</v>
      </c>
      <c r="E59">
        <f>((B59/A59)-1)/C59</f>
        <v>5.6547619047619055E-3</v>
      </c>
    </row>
    <row r="60" spans="1:6" x14ac:dyDescent="0.2">
      <c r="A60">
        <v>34</v>
      </c>
      <c r="B60">
        <v>52</v>
      </c>
      <c r="C60">
        <v>91</v>
      </c>
      <c r="D60" t="s">
        <v>5</v>
      </c>
      <c r="E60">
        <f>((B60/A60)-1)/C60</f>
        <v>5.8177117000646405E-3</v>
      </c>
    </row>
    <row r="61" spans="1:6" x14ac:dyDescent="0.2">
      <c r="A61">
        <v>40</v>
      </c>
      <c r="B61">
        <v>55</v>
      </c>
      <c r="C61">
        <v>62</v>
      </c>
      <c r="D61" t="s">
        <v>5</v>
      </c>
      <c r="E61">
        <f>((B61/A61)-1)/C61</f>
        <v>6.0483870967741934E-3</v>
      </c>
    </row>
    <row r="62" spans="1:6" x14ac:dyDescent="0.2">
      <c r="A62">
        <v>37</v>
      </c>
      <c r="B62">
        <v>49</v>
      </c>
      <c r="C62">
        <v>53</v>
      </c>
      <c r="D62" t="s">
        <v>5</v>
      </c>
      <c r="E62">
        <f>((B62/A62)-1)/C62</f>
        <v>6.1193268740438551E-3</v>
      </c>
    </row>
    <row r="63" spans="1:6" x14ac:dyDescent="0.2">
      <c r="A63">
        <v>28</v>
      </c>
      <c r="B63">
        <v>44</v>
      </c>
      <c r="C63">
        <v>89</v>
      </c>
      <c r="D63" t="s">
        <v>5</v>
      </c>
      <c r="E63">
        <f>((B63/A63)-1)/C63</f>
        <v>6.420545746388443E-3</v>
      </c>
    </row>
    <row r="64" spans="1:6" x14ac:dyDescent="0.2">
      <c r="A64">
        <v>75</v>
      </c>
      <c r="B64">
        <v>97</v>
      </c>
      <c r="C64">
        <v>44</v>
      </c>
      <c r="D64" t="s">
        <v>5</v>
      </c>
      <c r="E64">
        <f>((B64/A64)-1)/C64</f>
        <v>6.6666666666666645E-3</v>
      </c>
    </row>
    <row r="65" spans="1:6" x14ac:dyDescent="0.2">
      <c r="A65">
        <v>73</v>
      </c>
      <c r="B65">
        <v>94</v>
      </c>
      <c r="C65">
        <v>42</v>
      </c>
      <c r="D65" t="s">
        <v>5</v>
      </c>
      <c r="E65">
        <f>((B65/A65)-1)/C65</f>
        <v>6.849315068493152E-3</v>
      </c>
    </row>
    <row r="66" spans="1:6" x14ac:dyDescent="0.2">
      <c r="A66">
        <v>45</v>
      </c>
      <c r="B66">
        <v>58</v>
      </c>
      <c r="C66">
        <v>41</v>
      </c>
      <c r="D66" s="1" t="s">
        <v>4</v>
      </c>
      <c r="E66" s="1">
        <f>((B66/A66)-1)/C66</f>
        <v>7.0460704607046088E-3</v>
      </c>
      <c r="F66" s="2">
        <f>GEOMEAN(E66:E67)</f>
        <v>7.1300385140217132E-3</v>
      </c>
    </row>
    <row r="67" spans="1:6" x14ac:dyDescent="0.2">
      <c r="A67">
        <v>33</v>
      </c>
      <c r="B67">
        <v>53</v>
      </c>
      <c r="C67">
        <v>84</v>
      </c>
      <c r="D67" s="1" t="s">
        <v>5</v>
      </c>
      <c r="E67" s="1">
        <f>((B67/A67)-1)/C67</f>
        <v>7.2150072150072141E-3</v>
      </c>
    </row>
    <row r="68" spans="1:6" x14ac:dyDescent="0.2">
      <c r="A68">
        <v>38</v>
      </c>
      <c r="B68">
        <v>53</v>
      </c>
      <c r="C68">
        <v>54</v>
      </c>
      <c r="D68" t="s">
        <v>5</v>
      </c>
      <c r="E68">
        <f>((B68/A68)-1)/C68</f>
        <v>7.3099415204678341E-3</v>
      </c>
    </row>
    <row r="69" spans="1:6" x14ac:dyDescent="0.2">
      <c r="A69">
        <v>71</v>
      </c>
      <c r="B69">
        <v>95</v>
      </c>
      <c r="C69">
        <v>46</v>
      </c>
      <c r="D69" t="s">
        <v>5</v>
      </c>
      <c r="E69">
        <f>((B69/A69)-1)/C69</f>
        <v>7.3484384568279241E-3</v>
      </c>
    </row>
    <row r="70" spans="1:6" x14ac:dyDescent="0.2">
      <c r="A70">
        <v>12</v>
      </c>
      <c r="B70">
        <v>19</v>
      </c>
      <c r="C70">
        <v>79</v>
      </c>
      <c r="D70" t="s">
        <v>4</v>
      </c>
      <c r="E70">
        <f>((B70/A70)-1)/C70</f>
        <v>7.3839662447257376E-3</v>
      </c>
    </row>
    <row r="71" spans="1:6" x14ac:dyDescent="0.2">
      <c r="A71">
        <v>68</v>
      </c>
      <c r="B71">
        <v>90</v>
      </c>
      <c r="C71">
        <v>41</v>
      </c>
      <c r="D71" s="1" t="s">
        <v>4</v>
      </c>
      <c r="E71" s="1">
        <f>((B71/A71)-1)/C71</f>
        <v>7.8909612625538018E-3</v>
      </c>
      <c r="F71" s="2">
        <f>GEOMEAN(E71:E72)</f>
        <v>7.9824183330055049E-3</v>
      </c>
    </row>
    <row r="72" spans="1:6" x14ac:dyDescent="0.2">
      <c r="A72">
        <v>36</v>
      </c>
      <c r="B72">
        <v>61</v>
      </c>
      <c r="C72">
        <v>86</v>
      </c>
      <c r="D72" s="1" t="s">
        <v>5</v>
      </c>
      <c r="E72" s="1">
        <f>((B72/A72)-1)/C72</f>
        <v>8.0749354005167952E-3</v>
      </c>
    </row>
    <row r="73" spans="1:6" x14ac:dyDescent="0.2">
      <c r="A73">
        <v>11</v>
      </c>
      <c r="B73">
        <v>17</v>
      </c>
      <c r="C73">
        <v>63</v>
      </c>
      <c r="D73" s="1" t="s">
        <v>4</v>
      </c>
      <c r="E73" s="1">
        <f>((B73/A73)-1)/C73</f>
        <v>8.658008658008658E-3</v>
      </c>
      <c r="F73" s="2">
        <f>GEOMEAN(E73:E74)</f>
        <v>8.8617543847473428E-3</v>
      </c>
    </row>
    <row r="74" spans="1:6" x14ac:dyDescent="0.2">
      <c r="A74">
        <v>63</v>
      </c>
      <c r="B74">
        <v>87</v>
      </c>
      <c r="C74">
        <v>42</v>
      </c>
      <c r="D74" s="1" t="s">
        <v>5</v>
      </c>
      <c r="E74" s="1">
        <f>((B74/A74)-1)/C74</f>
        <v>9.0702947845804991E-3</v>
      </c>
    </row>
    <row r="75" spans="1:6" x14ac:dyDescent="0.2">
      <c r="A75">
        <v>25</v>
      </c>
      <c r="B75">
        <v>41</v>
      </c>
      <c r="C75">
        <v>69</v>
      </c>
      <c r="D75" t="s">
        <v>5</v>
      </c>
      <c r="E75">
        <f>((B75/A75)-1)/C75</f>
        <v>9.2753623188405777E-3</v>
      </c>
    </row>
    <row r="76" spans="1:6" x14ac:dyDescent="0.2">
      <c r="A76">
        <v>59</v>
      </c>
      <c r="B76">
        <v>82</v>
      </c>
      <c r="C76">
        <v>40</v>
      </c>
      <c r="D76" t="s">
        <v>5</v>
      </c>
      <c r="E76">
        <f>((B76/A76)-1)/C76</f>
        <v>9.7457627118644093E-3</v>
      </c>
    </row>
    <row r="77" spans="1:6" x14ac:dyDescent="0.2">
      <c r="A77">
        <v>27</v>
      </c>
      <c r="B77">
        <v>39</v>
      </c>
      <c r="C77">
        <v>43</v>
      </c>
      <c r="D77" t="s">
        <v>5</v>
      </c>
      <c r="E77">
        <f>((B77/A77)-1)/C77</f>
        <v>1.0335917312661497E-2</v>
      </c>
    </row>
    <row r="78" spans="1:6" x14ac:dyDescent="0.2">
      <c r="A78">
        <v>59</v>
      </c>
      <c r="B78">
        <v>67</v>
      </c>
      <c r="C78">
        <v>13</v>
      </c>
      <c r="D78" s="1" t="s">
        <v>4</v>
      </c>
      <c r="E78" s="1">
        <f>((B78/A78)-1)/C78</f>
        <v>1.0430247718383318E-2</v>
      </c>
      <c r="F78" s="2">
        <f>GEOMEAN(E78:E79)</f>
        <v>1.0492714579631036E-2</v>
      </c>
    </row>
    <row r="79" spans="1:6" x14ac:dyDescent="0.2">
      <c r="A79">
        <v>20</v>
      </c>
      <c r="B79">
        <v>39</v>
      </c>
      <c r="C79">
        <v>90</v>
      </c>
      <c r="D79" s="1" t="s">
        <v>5</v>
      </c>
      <c r="E79" s="1">
        <f>((B79/A79)-1)/C79</f>
        <v>1.0555555555555556E-2</v>
      </c>
    </row>
    <row r="80" spans="1:6" x14ac:dyDescent="0.2">
      <c r="A80">
        <v>62</v>
      </c>
      <c r="B80">
        <v>86</v>
      </c>
      <c r="C80">
        <v>35</v>
      </c>
      <c r="D80" t="s">
        <v>5</v>
      </c>
      <c r="E80">
        <f>((B80/A80)-1)/C80</f>
        <v>1.1059907834101386E-2</v>
      </c>
    </row>
    <row r="81" spans="1:6" x14ac:dyDescent="0.2">
      <c r="A81">
        <v>42</v>
      </c>
      <c r="B81">
        <v>58</v>
      </c>
      <c r="C81">
        <v>32</v>
      </c>
      <c r="D81" t="s">
        <v>5</v>
      </c>
      <c r="E81">
        <f>((B81/A81)-1)/C81</f>
        <v>1.1904761904761904E-2</v>
      </c>
    </row>
    <row r="82" spans="1:6" x14ac:dyDescent="0.2">
      <c r="A82">
        <v>13</v>
      </c>
      <c r="B82">
        <v>18</v>
      </c>
      <c r="C82">
        <v>32</v>
      </c>
      <c r="D82" t="s">
        <v>4</v>
      </c>
      <c r="E82">
        <f>((B82/A82)-1)/C82</f>
        <v>1.2019230769230768E-2</v>
      </c>
    </row>
    <row r="83" spans="1:6" x14ac:dyDescent="0.2">
      <c r="A83">
        <v>24</v>
      </c>
      <c r="B83">
        <v>35</v>
      </c>
      <c r="C83">
        <v>38</v>
      </c>
      <c r="D83" s="1" t="s">
        <v>4</v>
      </c>
      <c r="E83" s="1">
        <f>((B83/A83)-1)/C83</f>
        <v>1.2061403508771927E-2</v>
      </c>
      <c r="F83" s="2">
        <f>GEOMEAN(E83:E84)</f>
        <v>1.3093835259465328E-2</v>
      </c>
    </row>
    <row r="84" spans="1:6" x14ac:dyDescent="0.2">
      <c r="A84">
        <v>67</v>
      </c>
      <c r="B84">
        <v>87</v>
      </c>
      <c r="C84">
        <v>21</v>
      </c>
      <c r="D84" s="1" t="s">
        <v>5</v>
      </c>
      <c r="E84" s="1">
        <f>((B84/A84)-1)/C84</f>
        <v>1.421464108031272E-2</v>
      </c>
    </row>
    <row r="85" spans="1:6" x14ac:dyDescent="0.2">
      <c r="A85">
        <v>10</v>
      </c>
      <c r="B85">
        <v>21</v>
      </c>
      <c r="C85">
        <v>66</v>
      </c>
      <c r="D85" t="s">
        <v>5</v>
      </c>
      <c r="E85">
        <f>((B85/A85)-1)/C85</f>
        <v>1.6666666666666666E-2</v>
      </c>
    </row>
    <row r="86" spans="1:6" x14ac:dyDescent="0.2">
      <c r="A86">
        <v>30</v>
      </c>
      <c r="B86">
        <v>46</v>
      </c>
      <c r="C86">
        <v>29</v>
      </c>
      <c r="D86" t="s">
        <v>5</v>
      </c>
      <c r="E86">
        <f>((B86/A86)-1)/C86</f>
        <v>1.8390804597701153E-2</v>
      </c>
    </row>
    <row r="87" spans="1:6" x14ac:dyDescent="0.2">
      <c r="A87">
        <v>17</v>
      </c>
      <c r="B87">
        <v>41</v>
      </c>
      <c r="C87">
        <v>72</v>
      </c>
      <c r="D87" t="s">
        <v>5</v>
      </c>
      <c r="E87">
        <f>((B87/A87)-1)/C87</f>
        <v>1.9607843137254902E-2</v>
      </c>
    </row>
    <row r="88" spans="1:6" x14ac:dyDescent="0.2">
      <c r="A88">
        <v>17</v>
      </c>
      <c r="B88">
        <v>32</v>
      </c>
      <c r="C88">
        <v>44</v>
      </c>
      <c r="D88" t="s">
        <v>5</v>
      </c>
      <c r="E88">
        <f>((B88/A88)-1)/C88</f>
        <v>2.0053475935828877E-2</v>
      </c>
    </row>
    <row r="89" spans="1:6" x14ac:dyDescent="0.2">
      <c r="A89">
        <v>13</v>
      </c>
      <c r="B89">
        <v>35</v>
      </c>
      <c r="C89">
        <v>72</v>
      </c>
      <c r="D89" t="s">
        <v>5</v>
      </c>
      <c r="E89">
        <f>((B89/A89)-1)/C89</f>
        <v>2.3504273504273508E-2</v>
      </c>
    </row>
    <row r="90" spans="1:6" x14ac:dyDescent="0.2">
      <c r="A90">
        <v>12</v>
      </c>
      <c r="B90">
        <v>32</v>
      </c>
      <c r="C90">
        <v>68</v>
      </c>
      <c r="D90" t="s">
        <v>5</v>
      </c>
      <c r="E90">
        <f>((B90/A90)-1)/C90</f>
        <v>2.4509803921568624E-2</v>
      </c>
    </row>
    <row r="91" spans="1:6" x14ac:dyDescent="0.2">
      <c r="A91">
        <v>13</v>
      </c>
      <c r="B91">
        <v>38</v>
      </c>
      <c r="C91">
        <v>69</v>
      </c>
      <c r="D91" t="s">
        <v>5</v>
      </c>
      <c r="E91">
        <f>((B91/A91)-1)/C91</f>
        <v>2.7870680044593085E-2</v>
      </c>
    </row>
    <row r="92" spans="1:6" x14ac:dyDescent="0.2">
      <c r="A92">
        <v>54</v>
      </c>
      <c r="B92">
        <v>79</v>
      </c>
      <c r="C92">
        <v>15</v>
      </c>
      <c r="D92" t="s">
        <v>5</v>
      </c>
      <c r="E92">
        <f>((B92/A92)-1)/C92</f>
        <v>3.0864197530864203E-2</v>
      </c>
    </row>
    <row r="93" spans="1:6" x14ac:dyDescent="0.2">
      <c r="A93">
        <v>41</v>
      </c>
      <c r="B93">
        <v>64</v>
      </c>
      <c r="C93">
        <v>18</v>
      </c>
      <c r="D93" t="s">
        <v>5</v>
      </c>
      <c r="E93">
        <f>((B93/A93)-1)/C93</f>
        <v>3.1165311653116534E-2</v>
      </c>
    </row>
    <row r="94" spans="1:6" x14ac:dyDescent="0.2">
      <c r="A94">
        <v>27</v>
      </c>
      <c r="B94">
        <v>50</v>
      </c>
      <c r="C94">
        <v>21</v>
      </c>
      <c r="D94" t="s">
        <v>5</v>
      </c>
      <c r="E94">
        <f>((B94/A94)-1)/C94</f>
        <v>4.0564373897707229E-2</v>
      </c>
    </row>
    <row r="95" spans="1:6" x14ac:dyDescent="0.2">
      <c r="A95">
        <v>23</v>
      </c>
      <c r="B95">
        <v>41</v>
      </c>
      <c r="C95">
        <v>18</v>
      </c>
      <c r="D95" t="s">
        <v>5</v>
      </c>
      <c r="E95">
        <f>((B95/A95)-1)/C95</f>
        <v>4.3478260869565216E-2</v>
      </c>
    </row>
    <row r="96" spans="1:6" x14ac:dyDescent="0.2">
      <c r="A96">
        <v>12</v>
      </c>
      <c r="B96">
        <v>32</v>
      </c>
      <c r="C96">
        <v>33</v>
      </c>
      <c r="D96" t="s">
        <v>5</v>
      </c>
      <c r="E96">
        <f>((B96/A96)-1)/C96</f>
        <v>5.0505050505050497E-2</v>
      </c>
    </row>
    <row r="97" spans="1:5" x14ac:dyDescent="0.2">
      <c r="A97">
        <v>14</v>
      </c>
      <c r="B97">
        <v>37</v>
      </c>
      <c r="C97">
        <v>23</v>
      </c>
      <c r="D97" t="s">
        <v>5</v>
      </c>
      <c r="E97">
        <f>((B97/A97)-1)/C97</f>
        <v>7.1428571428571425E-2</v>
      </c>
    </row>
    <row r="98" spans="1:5" x14ac:dyDescent="0.2">
      <c r="A98">
        <v>15</v>
      </c>
      <c r="B98">
        <v>35</v>
      </c>
      <c r="C98">
        <v>13</v>
      </c>
      <c r="D98" t="s">
        <v>5</v>
      </c>
      <c r="E98">
        <f>((B98/A98)-1)/C98</f>
        <v>0.10256410256410257</v>
      </c>
    </row>
    <row r="99" spans="1:5" x14ac:dyDescent="0.2">
      <c r="A99">
        <v>18</v>
      </c>
      <c r="B99">
        <v>42</v>
      </c>
      <c r="C99">
        <v>10</v>
      </c>
      <c r="D99" t="s">
        <v>5</v>
      </c>
      <c r="E99">
        <f>((B99/A99)-1)/C99</f>
        <v>0.13333333333333336</v>
      </c>
    </row>
    <row r="100" spans="1:5" x14ac:dyDescent="0.2">
      <c r="A100">
        <v>10</v>
      </c>
      <c r="B100">
        <v>29</v>
      </c>
      <c r="C100">
        <v>11</v>
      </c>
      <c r="D100" t="s">
        <v>5</v>
      </c>
      <c r="E100">
        <f>((B100/A100)-1)/C100</f>
        <v>0.17272727272727273</v>
      </c>
    </row>
    <row r="101" spans="1:5" x14ac:dyDescent="0.2">
      <c r="A101">
        <v>11</v>
      </c>
      <c r="B101">
        <v>30</v>
      </c>
      <c r="C101">
        <v>7</v>
      </c>
      <c r="D101" t="s">
        <v>5</v>
      </c>
      <c r="E101">
        <f>((B101/A101)-1)/C101</f>
        <v>0.24675324675324672</v>
      </c>
    </row>
  </sheetData>
  <sortState xmlns:xlrd2="http://schemas.microsoft.com/office/spreadsheetml/2017/richdata2" ref="A2:E101">
    <sortCondition ref="E1:E10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60A59-AE57-9A49-941F-2BA9A0E0E23C}">
  <dimension ref="A1:I101"/>
  <sheetViews>
    <sheetView zoomScale="171" workbookViewId="0">
      <selection sqref="A1:E1"/>
    </sheetView>
  </sheetViews>
  <sheetFormatPr baseColWidth="10" defaultRowHeight="16" x14ac:dyDescent="0.2"/>
  <cols>
    <col min="1" max="1" width="12.5" bestFit="1" customWidth="1"/>
    <col min="2" max="2" width="13" bestFit="1" customWidth="1"/>
    <col min="4" max="4" width="12.33203125" bestFit="1" customWidth="1"/>
    <col min="6" max="6" width="10.83203125" style="2"/>
    <col min="8" max="8" width="19.33203125" bestFit="1" customWidth="1"/>
  </cols>
  <sheetData>
    <row r="1" spans="1:9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6</v>
      </c>
      <c r="F1" s="2" t="s">
        <v>8</v>
      </c>
    </row>
    <row r="2" spans="1:9" x14ac:dyDescent="0.2">
      <c r="A2">
        <v>80</v>
      </c>
      <c r="B2">
        <v>99</v>
      </c>
      <c r="C2">
        <v>95</v>
      </c>
      <c r="D2" s="1" t="s">
        <v>4</v>
      </c>
      <c r="E2" s="1">
        <f>((B2/A2)-1)/C2</f>
        <v>2.5000000000000005E-3</v>
      </c>
      <c r="F2" s="2">
        <f>GEOMEAN(E2:E3)</f>
        <v>3.7298284537762615E-3</v>
      </c>
      <c r="H2" s="3" t="s">
        <v>7</v>
      </c>
      <c r="I2" s="1">
        <f>AVERAGE(F2,F4,F11,F23,F25,F30,F32,F37,F39,F42,F45,F58,F60,F65,F67,F69,F71,F74,F76,F79,F84,F90,F97)</f>
        <v>1.0020485781154104E-2</v>
      </c>
    </row>
    <row r="3" spans="1:9" x14ac:dyDescent="0.2">
      <c r="A3">
        <v>65</v>
      </c>
      <c r="B3">
        <v>82</v>
      </c>
      <c r="C3">
        <v>47</v>
      </c>
      <c r="D3" s="1" t="s">
        <v>5</v>
      </c>
      <c r="E3" s="1">
        <f t="shared" ref="E3:E66" si="0">((B3/A3)-1)/C3</f>
        <v>5.5646481178396063E-3</v>
      </c>
    </row>
    <row r="4" spans="1:9" x14ac:dyDescent="0.2">
      <c r="A4">
        <v>62</v>
      </c>
      <c r="B4">
        <v>64</v>
      </c>
      <c r="C4">
        <v>97</v>
      </c>
      <c r="D4" s="1" t="s">
        <v>4</v>
      </c>
      <c r="E4" s="1">
        <f t="shared" si="0"/>
        <v>3.3255736614565983E-4</v>
      </c>
      <c r="F4" s="2">
        <f>GEOMEAN(E4:E5)</f>
        <v>9.7832755812641919E-4</v>
      </c>
    </row>
    <row r="5" spans="1:9" x14ac:dyDescent="0.2">
      <c r="A5">
        <v>39</v>
      </c>
      <c r="B5">
        <v>50</v>
      </c>
      <c r="C5">
        <v>98</v>
      </c>
      <c r="D5" s="1" t="s">
        <v>5</v>
      </c>
      <c r="E5" s="1">
        <f t="shared" si="0"/>
        <v>2.8780743066457361E-3</v>
      </c>
    </row>
    <row r="6" spans="1:9" x14ac:dyDescent="0.2">
      <c r="A6">
        <v>45</v>
      </c>
      <c r="B6">
        <v>64</v>
      </c>
      <c r="C6">
        <v>99</v>
      </c>
      <c r="D6" t="s">
        <v>5</v>
      </c>
      <c r="E6">
        <f t="shared" si="0"/>
        <v>4.2648709315375984E-3</v>
      </c>
    </row>
    <row r="7" spans="1:9" x14ac:dyDescent="0.2">
      <c r="A7">
        <v>38</v>
      </c>
      <c r="B7">
        <v>53</v>
      </c>
      <c r="C7">
        <v>54</v>
      </c>
      <c r="D7" t="s">
        <v>5</v>
      </c>
      <c r="E7">
        <f t="shared" si="0"/>
        <v>7.3099415204678341E-3</v>
      </c>
    </row>
    <row r="8" spans="1:9" x14ac:dyDescent="0.2">
      <c r="A8">
        <v>23</v>
      </c>
      <c r="B8">
        <v>41</v>
      </c>
      <c r="C8">
        <v>18</v>
      </c>
      <c r="D8" t="s">
        <v>5</v>
      </c>
      <c r="E8">
        <f t="shared" si="0"/>
        <v>4.3478260869565216E-2</v>
      </c>
    </row>
    <row r="9" spans="1:9" x14ac:dyDescent="0.2">
      <c r="A9">
        <v>20</v>
      </c>
      <c r="B9">
        <v>39</v>
      </c>
      <c r="C9">
        <v>90</v>
      </c>
      <c r="D9" t="s">
        <v>5</v>
      </c>
      <c r="E9">
        <f t="shared" si="0"/>
        <v>1.0555555555555556E-2</v>
      </c>
    </row>
    <row r="10" spans="1:9" x14ac:dyDescent="0.2">
      <c r="A10">
        <v>49</v>
      </c>
      <c r="B10">
        <v>56</v>
      </c>
      <c r="C10">
        <v>91</v>
      </c>
      <c r="D10" t="s">
        <v>4</v>
      </c>
      <c r="E10">
        <f t="shared" si="0"/>
        <v>1.5698587127158548E-3</v>
      </c>
    </row>
    <row r="11" spans="1:9" x14ac:dyDescent="0.2">
      <c r="A11">
        <v>41</v>
      </c>
      <c r="B11">
        <v>47</v>
      </c>
      <c r="C11">
        <v>41</v>
      </c>
      <c r="D11" s="1" t="s">
        <v>4</v>
      </c>
      <c r="E11" s="1">
        <f t="shared" si="0"/>
        <v>3.5693039857227818E-3</v>
      </c>
      <c r="F11" s="2">
        <f>GEOMEAN(E11:E12)</f>
        <v>2.641611517433572E-3</v>
      </c>
    </row>
    <row r="12" spans="1:9" x14ac:dyDescent="0.2">
      <c r="A12">
        <v>62</v>
      </c>
      <c r="B12">
        <v>74</v>
      </c>
      <c r="C12">
        <v>99</v>
      </c>
      <c r="D12" s="1" t="s">
        <v>5</v>
      </c>
      <c r="E12" s="1">
        <f t="shared" si="0"/>
        <v>1.9550342130987297E-3</v>
      </c>
    </row>
    <row r="13" spans="1:9" x14ac:dyDescent="0.2">
      <c r="A13">
        <v>89</v>
      </c>
      <c r="B13">
        <v>98</v>
      </c>
      <c r="C13">
        <v>42</v>
      </c>
      <c r="D13" t="s">
        <v>4</v>
      </c>
      <c r="E13">
        <f t="shared" si="0"/>
        <v>2.4077046548956669E-3</v>
      </c>
    </row>
    <row r="14" spans="1:9" x14ac:dyDescent="0.2">
      <c r="A14">
        <v>87</v>
      </c>
      <c r="B14">
        <v>90</v>
      </c>
      <c r="C14">
        <v>10</v>
      </c>
      <c r="D14" t="s">
        <v>4</v>
      </c>
      <c r="E14">
        <f t="shared" si="0"/>
        <v>3.4482758620689724E-3</v>
      </c>
    </row>
    <row r="15" spans="1:9" x14ac:dyDescent="0.2">
      <c r="A15">
        <v>48</v>
      </c>
      <c r="B15">
        <v>50</v>
      </c>
      <c r="C15">
        <v>12</v>
      </c>
      <c r="D15" t="s">
        <v>4</v>
      </c>
      <c r="E15">
        <f t="shared" si="0"/>
        <v>3.4722222222222285E-3</v>
      </c>
    </row>
    <row r="16" spans="1:9" x14ac:dyDescent="0.2">
      <c r="A16">
        <v>82</v>
      </c>
      <c r="B16">
        <v>89</v>
      </c>
      <c r="C16">
        <v>27</v>
      </c>
      <c r="D16" t="s">
        <v>4</v>
      </c>
      <c r="E16">
        <f t="shared" si="0"/>
        <v>3.1616982836495059E-3</v>
      </c>
    </row>
    <row r="17" spans="1:6" x14ac:dyDescent="0.2">
      <c r="A17">
        <v>83</v>
      </c>
      <c r="B17">
        <v>87</v>
      </c>
      <c r="C17">
        <v>23</v>
      </c>
      <c r="D17" t="s">
        <v>4</v>
      </c>
      <c r="E17">
        <f t="shared" si="0"/>
        <v>2.0953378732320557E-3</v>
      </c>
    </row>
    <row r="18" spans="1:6" x14ac:dyDescent="0.2">
      <c r="A18">
        <v>59</v>
      </c>
      <c r="B18">
        <v>67</v>
      </c>
      <c r="C18">
        <v>13</v>
      </c>
      <c r="D18" t="s">
        <v>4</v>
      </c>
      <c r="E18">
        <f t="shared" si="0"/>
        <v>1.0430247718383318E-2</v>
      </c>
    </row>
    <row r="19" spans="1:6" x14ac:dyDescent="0.2">
      <c r="A19">
        <v>42</v>
      </c>
      <c r="B19">
        <v>58</v>
      </c>
      <c r="C19">
        <v>32</v>
      </c>
      <c r="D19" t="s">
        <v>4</v>
      </c>
      <c r="E19">
        <f t="shared" si="0"/>
        <v>1.1904761904761904E-2</v>
      </c>
    </row>
    <row r="20" spans="1:6" x14ac:dyDescent="0.2">
      <c r="A20">
        <v>71</v>
      </c>
      <c r="B20">
        <v>72</v>
      </c>
      <c r="C20">
        <v>10</v>
      </c>
      <c r="D20" t="s">
        <v>4</v>
      </c>
      <c r="E20">
        <f t="shared" si="0"/>
        <v>1.4084507042253502E-3</v>
      </c>
    </row>
    <row r="21" spans="1:6" x14ac:dyDescent="0.2">
      <c r="A21">
        <v>33</v>
      </c>
      <c r="B21">
        <v>38</v>
      </c>
      <c r="C21">
        <v>79</v>
      </c>
      <c r="D21" t="s">
        <v>4</v>
      </c>
      <c r="E21">
        <f t="shared" si="0"/>
        <v>1.9179133103183748E-3</v>
      </c>
    </row>
    <row r="22" spans="1:6" x14ac:dyDescent="0.2">
      <c r="A22">
        <v>24</v>
      </c>
      <c r="B22">
        <v>35</v>
      </c>
      <c r="C22">
        <v>38</v>
      </c>
      <c r="D22" t="s">
        <v>4</v>
      </c>
      <c r="E22">
        <f t="shared" si="0"/>
        <v>1.2061403508771927E-2</v>
      </c>
    </row>
    <row r="23" spans="1:6" x14ac:dyDescent="0.2">
      <c r="A23">
        <v>85</v>
      </c>
      <c r="B23">
        <v>99</v>
      </c>
      <c r="C23">
        <v>98</v>
      </c>
      <c r="D23" s="1" t="s">
        <v>4</v>
      </c>
      <c r="E23" s="1">
        <f t="shared" si="0"/>
        <v>1.6806722689075638E-3</v>
      </c>
      <c r="F23" s="2">
        <f>GEOMEAN(E23:E24)</f>
        <v>4.3113896128102033E-3</v>
      </c>
    </row>
    <row r="24" spans="1:6" x14ac:dyDescent="0.2">
      <c r="A24">
        <v>62</v>
      </c>
      <c r="B24">
        <v>86</v>
      </c>
      <c r="C24">
        <v>35</v>
      </c>
      <c r="D24" s="1" t="s">
        <v>5</v>
      </c>
      <c r="E24" s="1">
        <f t="shared" si="0"/>
        <v>1.1059907834101386E-2</v>
      </c>
    </row>
    <row r="25" spans="1:6" x14ac:dyDescent="0.2">
      <c r="A25">
        <v>37</v>
      </c>
      <c r="B25">
        <v>49</v>
      </c>
      <c r="C25">
        <v>53</v>
      </c>
      <c r="D25" s="1" t="s">
        <v>4</v>
      </c>
      <c r="E25" s="1">
        <f t="shared" si="0"/>
        <v>6.1193268740438551E-3</v>
      </c>
      <c r="F25" s="2">
        <f>GEOMEAN(E25:E26)</f>
        <v>7.7225324648567449E-3</v>
      </c>
    </row>
    <row r="26" spans="1:6" x14ac:dyDescent="0.2">
      <c r="A26">
        <v>59</v>
      </c>
      <c r="B26">
        <v>82</v>
      </c>
      <c r="C26">
        <v>40</v>
      </c>
      <c r="D26" s="1" t="s">
        <v>5</v>
      </c>
      <c r="E26" s="1">
        <f t="shared" si="0"/>
        <v>9.7457627118644093E-3</v>
      </c>
    </row>
    <row r="27" spans="1:6" x14ac:dyDescent="0.2">
      <c r="A27">
        <v>27</v>
      </c>
      <c r="B27">
        <v>50</v>
      </c>
      <c r="C27">
        <v>21</v>
      </c>
      <c r="D27" t="s">
        <v>4</v>
      </c>
      <c r="E27">
        <f t="shared" si="0"/>
        <v>4.0564373897707229E-2</v>
      </c>
    </row>
    <row r="28" spans="1:6" x14ac:dyDescent="0.2">
      <c r="A28">
        <v>17</v>
      </c>
      <c r="B28">
        <v>20</v>
      </c>
      <c r="C28">
        <v>44</v>
      </c>
      <c r="D28" t="s">
        <v>4</v>
      </c>
      <c r="E28">
        <f t="shared" si="0"/>
        <v>4.0106951871657767E-3</v>
      </c>
    </row>
    <row r="29" spans="1:6" x14ac:dyDescent="0.2">
      <c r="A29">
        <v>75</v>
      </c>
      <c r="B29">
        <v>97</v>
      </c>
      <c r="C29">
        <v>44</v>
      </c>
      <c r="D29" t="s">
        <v>4</v>
      </c>
      <c r="E29">
        <f t="shared" si="0"/>
        <v>6.6666666666666645E-3</v>
      </c>
    </row>
    <row r="30" spans="1:6" x14ac:dyDescent="0.2">
      <c r="A30">
        <v>69</v>
      </c>
      <c r="B30">
        <v>76</v>
      </c>
      <c r="C30">
        <v>53</v>
      </c>
      <c r="D30" s="1" t="s">
        <v>4</v>
      </c>
      <c r="E30" s="1">
        <f t="shared" si="0"/>
        <v>1.9141372709871481E-3</v>
      </c>
      <c r="F30" s="2">
        <f>GEOMEAN(E30:E31)</f>
        <v>2.6856453909700228E-3</v>
      </c>
    </row>
    <row r="31" spans="1:6" x14ac:dyDescent="0.2">
      <c r="A31">
        <v>69</v>
      </c>
      <c r="B31">
        <v>82</v>
      </c>
      <c r="C31">
        <v>50</v>
      </c>
      <c r="D31" s="1" t="s">
        <v>5</v>
      </c>
      <c r="E31" s="1">
        <f t="shared" si="0"/>
        <v>3.7681159420289846E-3</v>
      </c>
    </row>
    <row r="32" spans="1:6" x14ac:dyDescent="0.2">
      <c r="A32">
        <v>24</v>
      </c>
      <c r="B32">
        <v>34</v>
      </c>
      <c r="C32">
        <v>86</v>
      </c>
      <c r="D32" s="1" t="s">
        <v>4</v>
      </c>
      <c r="E32" s="1">
        <f t="shared" si="0"/>
        <v>4.8449612403100783E-3</v>
      </c>
      <c r="F32" s="2">
        <f>GEOMEAN(E32:E33)</f>
        <v>2.541642838876745E-2</v>
      </c>
    </row>
    <row r="33" spans="1:6" x14ac:dyDescent="0.2">
      <c r="A33">
        <v>18</v>
      </c>
      <c r="B33">
        <v>42</v>
      </c>
      <c r="C33">
        <v>10</v>
      </c>
      <c r="D33" s="1" t="s">
        <v>5</v>
      </c>
      <c r="E33" s="1">
        <f t="shared" si="0"/>
        <v>0.13333333333333336</v>
      </c>
    </row>
    <row r="34" spans="1:6" x14ac:dyDescent="0.2">
      <c r="A34">
        <v>17</v>
      </c>
      <c r="B34">
        <v>24</v>
      </c>
      <c r="C34">
        <v>76</v>
      </c>
      <c r="D34" t="s">
        <v>4</v>
      </c>
      <c r="E34">
        <f t="shared" si="0"/>
        <v>5.4179566563467502E-3</v>
      </c>
    </row>
    <row r="35" spans="1:6" x14ac:dyDescent="0.2">
      <c r="A35">
        <v>10</v>
      </c>
      <c r="B35">
        <v>21</v>
      </c>
      <c r="C35">
        <v>66</v>
      </c>
      <c r="D35" t="s">
        <v>4</v>
      </c>
      <c r="E35">
        <f t="shared" si="0"/>
        <v>1.6666666666666666E-2</v>
      </c>
    </row>
    <row r="36" spans="1:6" x14ac:dyDescent="0.2">
      <c r="A36">
        <v>60</v>
      </c>
      <c r="B36">
        <v>67</v>
      </c>
      <c r="C36">
        <v>61</v>
      </c>
      <c r="D36" t="s">
        <v>4</v>
      </c>
      <c r="E36">
        <f t="shared" si="0"/>
        <v>1.9125683060109294E-3</v>
      </c>
    </row>
    <row r="37" spans="1:6" x14ac:dyDescent="0.2">
      <c r="A37">
        <v>81</v>
      </c>
      <c r="B37">
        <v>93</v>
      </c>
      <c r="C37">
        <v>43</v>
      </c>
      <c r="D37" s="1" t="s">
        <v>4</v>
      </c>
      <c r="E37" s="1">
        <f t="shared" si="0"/>
        <v>3.4453057708871662E-3</v>
      </c>
      <c r="F37" s="2">
        <f>GEOMEAN(E37:E38)</f>
        <v>1.0362143990988518E-2</v>
      </c>
    </row>
    <row r="38" spans="1:6" x14ac:dyDescent="0.2">
      <c r="A38">
        <v>41</v>
      </c>
      <c r="B38">
        <v>64</v>
      </c>
      <c r="C38">
        <v>18</v>
      </c>
      <c r="D38" s="1" t="s">
        <v>5</v>
      </c>
      <c r="E38" s="1">
        <f t="shared" si="0"/>
        <v>3.1165311653116534E-2</v>
      </c>
    </row>
    <row r="39" spans="1:6" x14ac:dyDescent="0.2">
      <c r="A39">
        <v>87</v>
      </c>
      <c r="B39">
        <v>99</v>
      </c>
      <c r="C39">
        <v>45</v>
      </c>
      <c r="D39" s="1" t="s">
        <v>4</v>
      </c>
      <c r="E39" s="1">
        <f t="shared" si="0"/>
        <v>3.0651340996168596E-3</v>
      </c>
      <c r="F39" s="2">
        <f>GEOMEAN(E39:E40)</f>
        <v>3.0949223029508649E-3</v>
      </c>
    </row>
    <row r="40" spans="1:6" x14ac:dyDescent="0.2">
      <c r="A40">
        <v>60</v>
      </c>
      <c r="B40">
        <v>72</v>
      </c>
      <c r="C40">
        <v>64</v>
      </c>
      <c r="D40" s="1" t="s">
        <v>5</v>
      </c>
      <c r="E40" s="1">
        <f t="shared" si="0"/>
        <v>3.1249999999999993E-3</v>
      </c>
    </row>
    <row r="41" spans="1:6" x14ac:dyDescent="0.2">
      <c r="A41">
        <v>53</v>
      </c>
      <c r="B41">
        <v>61</v>
      </c>
      <c r="C41">
        <v>95</v>
      </c>
      <c r="D41" t="s">
        <v>4</v>
      </c>
      <c r="E41">
        <f t="shared" si="0"/>
        <v>1.5888778550148953E-3</v>
      </c>
    </row>
    <row r="42" spans="1:6" x14ac:dyDescent="0.2">
      <c r="A42">
        <v>67</v>
      </c>
      <c r="B42">
        <v>75</v>
      </c>
      <c r="C42">
        <v>119</v>
      </c>
      <c r="D42" s="1" t="s">
        <v>4</v>
      </c>
      <c r="E42" s="1">
        <f t="shared" si="0"/>
        <v>1.0033864291985443E-3</v>
      </c>
      <c r="F42" s="2">
        <f>GEOMEAN(E42:E43)</f>
        <v>2.1981165466100636E-3</v>
      </c>
    </row>
    <row r="43" spans="1:6" x14ac:dyDescent="0.2">
      <c r="A43">
        <v>49</v>
      </c>
      <c r="B43">
        <v>70</v>
      </c>
      <c r="C43">
        <v>89</v>
      </c>
      <c r="D43" s="1" t="s">
        <v>5</v>
      </c>
      <c r="E43" s="1">
        <f t="shared" si="0"/>
        <v>4.8154093097913329E-3</v>
      </c>
    </row>
    <row r="44" spans="1:6" x14ac:dyDescent="0.2">
      <c r="A44">
        <v>37</v>
      </c>
      <c r="B44">
        <v>39</v>
      </c>
      <c r="C44">
        <v>51</v>
      </c>
      <c r="D44" t="s">
        <v>4</v>
      </c>
      <c r="E44">
        <f t="shared" si="0"/>
        <v>1.0598834128245872E-3</v>
      </c>
    </row>
    <row r="45" spans="1:6" x14ac:dyDescent="0.2">
      <c r="A45">
        <v>61</v>
      </c>
      <c r="B45">
        <v>78</v>
      </c>
      <c r="C45">
        <v>71</v>
      </c>
      <c r="D45" s="1" t="s">
        <v>4</v>
      </c>
      <c r="E45" s="1">
        <f t="shared" si="0"/>
        <v>3.9251904871854086E-3</v>
      </c>
      <c r="F45" s="2">
        <f>GEOMEAN(E45:E46)</f>
        <v>3.1465429780094109E-3</v>
      </c>
    </row>
    <row r="46" spans="1:6" x14ac:dyDescent="0.2">
      <c r="A46">
        <v>49</v>
      </c>
      <c r="B46">
        <v>60</v>
      </c>
      <c r="C46">
        <v>89</v>
      </c>
      <c r="D46" s="1" t="s">
        <v>5</v>
      </c>
      <c r="E46" s="1">
        <f t="shared" si="0"/>
        <v>2.522357257509746E-3</v>
      </c>
    </row>
    <row r="47" spans="1:6" x14ac:dyDescent="0.2">
      <c r="A47">
        <v>51</v>
      </c>
      <c r="B47">
        <v>54</v>
      </c>
      <c r="C47">
        <v>16</v>
      </c>
      <c r="D47" t="s">
        <v>4</v>
      </c>
      <c r="E47">
        <f t="shared" si="0"/>
        <v>3.6764705882352949E-3</v>
      </c>
    </row>
    <row r="48" spans="1:6" x14ac:dyDescent="0.2">
      <c r="A48">
        <v>12</v>
      </c>
      <c r="B48">
        <v>19</v>
      </c>
      <c r="C48">
        <v>79</v>
      </c>
      <c r="D48" t="s">
        <v>4</v>
      </c>
      <c r="E48">
        <f t="shared" si="0"/>
        <v>7.3839662447257376E-3</v>
      </c>
    </row>
    <row r="49" spans="1:6" x14ac:dyDescent="0.2">
      <c r="A49">
        <v>28</v>
      </c>
      <c r="B49">
        <v>44</v>
      </c>
      <c r="C49">
        <v>89</v>
      </c>
      <c r="D49" t="s">
        <v>4</v>
      </c>
      <c r="E49">
        <f t="shared" si="0"/>
        <v>6.420545746388443E-3</v>
      </c>
    </row>
    <row r="50" spans="1:6" x14ac:dyDescent="0.2">
      <c r="A50">
        <v>78</v>
      </c>
      <c r="B50">
        <v>80</v>
      </c>
      <c r="C50">
        <v>162</v>
      </c>
      <c r="D50" t="s">
        <v>4</v>
      </c>
      <c r="E50">
        <f t="shared" si="0"/>
        <v>1.5827793605571326E-4</v>
      </c>
    </row>
    <row r="51" spans="1:6" x14ac:dyDescent="0.2">
      <c r="A51">
        <v>44</v>
      </c>
      <c r="B51">
        <v>45</v>
      </c>
      <c r="C51">
        <v>56</v>
      </c>
      <c r="D51" t="s">
        <v>4</v>
      </c>
      <c r="E51">
        <f t="shared" si="0"/>
        <v>4.0584415584415549E-4</v>
      </c>
    </row>
    <row r="52" spans="1:6" x14ac:dyDescent="0.2">
      <c r="A52">
        <v>84</v>
      </c>
      <c r="B52">
        <v>95</v>
      </c>
      <c r="C52">
        <v>97</v>
      </c>
      <c r="D52" t="s">
        <v>4</v>
      </c>
      <c r="E52">
        <f t="shared" si="0"/>
        <v>1.3500245459008343E-3</v>
      </c>
    </row>
    <row r="53" spans="1:6" x14ac:dyDescent="0.2">
      <c r="A53">
        <v>82</v>
      </c>
      <c r="B53">
        <v>88</v>
      </c>
      <c r="C53">
        <v>89</v>
      </c>
      <c r="D53" t="s">
        <v>4</v>
      </c>
      <c r="E53">
        <f t="shared" si="0"/>
        <v>8.2214305289120379E-4</v>
      </c>
    </row>
    <row r="54" spans="1:6" x14ac:dyDescent="0.2">
      <c r="A54">
        <v>68</v>
      </c>
      <c r="B54">
        <v>90</v>
      </c>
      <c r="C54">
        <v>41</v>
      </c>
      <c r="D54" t="s">
        <v>4</v>
      </c>
      <c r="E54">
        <f t="shared" si="0"/>
        <v>7.8909612625538018E-3</v>
      </c>
    </row>
    <row r="55" spans="1:6" x14ac:dyDescent="0.2">
      <c r="A55">
        <v>80</v>
      </c>
      <c r="B55">
        <v>99</v>
      </c>
      <c r="C55">
        <v>42</v>
      </c>
      <c r="D55" t="s">
        <v>4</v>
      </c>
      <c r="E55">
        <f t="shared" si="0"/>
        <v>5.6547619047619055E-3</v>
      </c>
    </row>
    <row r="56" spans="1:6" x14ac:dyDescent="0.2">
      <c r="A56">
        <v>30</v>
      </c>
      <c r="B56">
        <v>46</v>
      </c>
      <c r="C56">
        <v>29</v>
      </c>
      <c r="D56" t="s">
        <v>4</v>
      </c>
      <c r="E56">
        <f t="shared" si="0"/>
        <v>1.8390804597701153E-2</v>
      </c>
    </row>
    <row r="57" spans="1:6" x14ac:dyDescent="0.2">
      <c r="A57">
        <v>14</v>
      </c>
      <c r="B57">
        <v>37</v>
      </c>
      <c r="C57">
        <v>23</v>
      </c>
      <c r="D57" t="s">
        <v>4</v>
      </c>
      <c r="E57">
        <f t="shared" si="0"/>
        <v>7.1428571428571425E-2</v>
      </c>
    </row>
    <row r="58" spans="1:6" x14ac:dyDescent="0.2">
      <c r="A58">
        <v>45</v>
      </c>
      <c r="B58">
        <v>58</v>
      </c>
      <c r="C58">
        <v>41</v>
      </c>
      <c r="D58" s="1" t="s">
        <v>4</v>
      </c>
      <c r="E58" s="1">
        <f t="shared" si="0"/>
        <v>7.0460704607046088E-3</v>
      </c>
      <c r="F58" s="2">
        <f>GEOMEAN(E58:E59)</f>
        <v>1.2869062407136875E-2</v>
      </c>
    </row>
    <row r="59" spans="1:6" x14ac:dyDescent="0.2">
      <c r="A59">
        <v>13</v>
      </c>
      <c r="B59">
        <v>35</v>
      </c>
      <c r="C59">
        <v>72</v>
      </c>
      <c r="D59" s="1" t="s">
        <v>5</v>
      </c>
      <c r="E59" s="1">
        <f t="shared" si="0"/>
        <v>2.3504273504273508E-2</v>
      </c>
    </row>
    <row r="60" spans="1:6" x14ac:dyDescent="0.2">
      <c r="A60">
        <v>37</v>
      </c>
      <c r="B60">
        <v>44</v>
      </c>
      <c r="C60">
        <v>82</v>
      </c>
      <c r="D60" s="1" t="s">
        <v>4</v>
      </c>
      <c r="E60" s="1">
        <f t="shared" si="0"/>
        <v>2.3071852340145033E-3</v>
      </c>
      <c r="F60" s="2">
        <f>GEOMEAN(E60:E61)</f>
        <v>2.7428871852332643E-3</v>
      </c>
    </row>
    <row r="61" spans="1:6" x14ac:dyDescent="0.2">
      <c r="A61">
        <v>70</v>
      </c>
      <c r="B61">
        <v>91</v>
      </c>
      <c r="C61">
        <v>92</v>
      </c>
      <c r="D61" s="1" t="s">
        <v>5</v>
      </c>
      <c r="E61" s="1">
        <f t="shared" si="0"/>
        <v>3.260869565217392E-3</v>
      </c>
    </row>
    <row r="62" spans="1:6" x14ac:dyDescent="0.2">
      <c r="A62">
        <v>65</v>
      </c>
      <c r="B62">
        <v>82</v>
      </c>
      <c r="C62">
        <v>68</v>
      </c>
      <c r="D62" t="s">
        <v>5</v>
      </c>
      <c r="E62">
        <f t="shared" si="0"/>
        <v>3.8461538461538455E-3</v>
      </c>
    </row>
    <row r="63" spans="1:6" x14ac:dyDescent="0.2">
      <c r="A63">
        <v>54</v>
      </c>
      <c r="B63">
        <v>79</v>
      </c>
      <c r="C63">
        <v>15</v>
      </c>
      <c r="D63" t="s">
        <v>5</v>
      </c>
      <c r="E63">
        <f t="shared" si="0"/>
        <v>3.0864197530864203E-2</v>
      </c>
    </row>
    <row r="64" spans="1:6" x14ac:dyDescent="0.2">
      <c r="A64">
        <v>67</v>
      </c>
      <c r="B64">
        <v>87</v>
      </c>
      <c r="C64">
        <v>21</v>
      </c>
      <c r="D64" t="s">
        <v>5</v>
      </c>
      <c r="E64">
        <f t="shared" si="0"/>
        <v>1.421464108031272E-2</v>
      </c>
    </row>
    <row r="65" spans="1:6" x14ac:dyDescent="0.2">
      <c r="A65">
        <v>61</v>
      </c>
      <c r="B65">
        <v>76</v>
      </c>
      <c r="C65">
        <v>81</v>
      </c>
      <c r="D65" s="1" t="s">
        <v>4</v>
      </c>
      <c r="E65" s="1">
        <f t="shared" si="0"/>
        <v>3.0358227079538562E-3</v>
      </c>
      <c r="F65" s="2">
        <f>GEOMEAN(E65:E66)</f>
        <v>3.1405368586809759E-3</v>
      </c>
    </row>
    <row r="66" spans="1:6" x14ac:dyDescent="0.2">
      <c r="A66">
        <v>57</v>
      </c>
      <c r="B66">
        <v>72</v>
      </c>
      <c r="C66">
        <v>81</v>
      </c>
      <c r="D66" s="1" t="s">
        <v>5</v>
      </c>
      <c r="E66" s="1">
        <f t="shared" si="0"/>
        <v>3.248862897985704E-3</v>
      </c>
    </row>
    <row r="67" spans="1:6" x14ac:dyDescent="0.2">
      <c r="A67">
        <v>13</v>
      </c>
      <c r="B67">
        <v>18</v>
      </c>
      <c r="C67">
        <v>32</v>
      </c>
      <c r="D67" s="1" t="s">
        <v>4</v>
      </c>
      <c r="E67" s="1">
        <f t="shared" ref="E67:E101" si="1">((B67/A67)-1)/C67</f>
        <v>1.2019230769230768E-2</v>
      </c>
      <c r="F67" s="2">
        <f>GEOMEAN(E67:E68)</f>
        <v>3.5110420352895265E-2</v>
      </c>
    </row>
    <row r="68" spans="1:6" x14ac:dyDescent="0.2">
      <c r="A68">
        <v>15</v>
      </c>
      <c r="B68">
        <v>35</v>
      </c>
      <c r="C68">
        <v>13</v>
      </c>
      <c r="D68" s="1" t="s">
        <v>5</v>
      </c>
      <c r="E68" s="1">
        <f t="shared" si="1"/>
        <v>0.10256410256410257</v>
      </c>
    </row>
    <row r="69" spans="1:6" x14ac:dyDescent="0.2">
      <c r="A69">
        <v>33</v>
      </c>
      <c r="B69">
        <v>36</v>
      </c>
      <c r="C69">
        <v>31</v>
      </c>
      <c r="D69" s="1" t="s">
        <v>4</v>
      </c>
      <c r="E69" s="1">
        <f t="shared" si="1"/>
        <v>2.9325513196480912E-3</v>
      </c>
      <c r="F69" s="2">
        <f>GEOMEAN(E69:E70)</f>
        <v>2.386847284696392E-3</v>
      </c>
    </row>
    <row r="70" spans="1:6" x14ac:dyDescent="0.2">
      <c r="A70">
        <v>87</v>
      </c>
      <c r="B70">
        <v>99</v>
      </c>
      <c r="C70">
        <v>71</v>
      </c>
      <c r="D70" s="1" t="s">
        <v>5</v>
      </c>
      <c r="E70" s="1">
        <f t="shared" si="1"/>
        <v>1.9426906265177278E-3</v>
      </c>
    </row>
    <row r="71" spans="1:6" x14ac:dyDescent="0.2">
      <c r="A71">
        <v>63</v>
      </c>
      <c r="B71">
        <v>87</v>
      </c>
      <c r="C71">
        <v>42</v>
      </c>
      <c r="D71" s="1" t="s">
        <v>4</v>
      </c>
      <c r="E71" s="1">
        <f t="shared" si="1"/>
        <v>9.0702947845804991E-3</v>
      </c>
      <c r="F71" s="2">
        <f>GEOMEAN(E71:E72)</f>
        <v>2.1403170236928316E-2</v>
      </c>
    </row>
    <row r="72" spans="1:6" x14ac:dyDescent="0.2">
      <c r="A72">
        <v>12</v>
      </c>
      <c r="B72">
        <v>32</v>
      </c>
      <c r="C72">
        <v>33</v>
      </c>
      <c r="D72" s="1" t="s">
        <v>5</v>
      </c>
      <c r="E72" s="1">
        <f t="shared" si="1"/>
        <v>5.0505050505050497E-2</v>
      </c>
    </row>
    <row r="73" spans="1:6" x14ac:dyDescent="0.2">
      <c r="A73">
        <v>11</v>
      </c>
      <c r="B73">
        <v>30</v>
      </c>
      <c r="C73">
        <v>7</v>
      </c>
      <c r="D73" t="s">
        <v>5</v>
      </c>
      <c r="E73">
        <f t="shared" si="1"/>
        <v>0.24675324675324672</v>
      </c>
    </row>
    <row r="74" spans="1:6" x14ac:dyDescent="0.2">
      <c r="A74">
        <v>11</v>
      </c>
      <c r="B74">
        <v>12</v>
      </c>
      <c r="C74">
        <v>57</v>
      </c>
      <c r="D74" s="1" t="s">
        <v>4</v>
      </c>
      <c r="E74" s="1">
        <f t="shared" si="1"/>
        <v>1.5948963317384355E-3</v>
      </c>
      <c r="F74" s="2">
        <f>GEOMEAN(E74:E75)</f>
        <v>3.3922247184821571E-3</v>
      </c>
    </row>
    <row r="75" spans="1:6" x14ac:dyDescent="0.2">
      <c r="A75">
        <v>33</v>
      </c>
      <c r="B75">
        <v>53</v>
      </c>
      <c r="C75">
        <v>84</v>
      </c>
      <c r="D75" s="1" t="s">
        <v>5</v>
      </c>
      <c r="E75" s="1">
        <f t="shared" si="1"/>
        <v>7.2150072150072141E-3</v>
      </c>
    </row>
    <row r="76" spans="1:6" x14ac:dyDescent="0.2">
      <c r="A76">
        <v>40</v>
      </c>
      <c r="B76">
        <v>55</v>
      </c>
      <c r="C76">
        <v>62</v>
      </c>
      <c r="D76" s="1" t="s">
        <v>4</v>
      </c>
      <c r="E76" s="1">
        <f t="shared" si="1"/>
        <v>6.0483870967741934E-3</v>
      </c>
      <c r="F76" s="2">
        <f>GEOMEAN(E76:E77)</f>
        <v>5.0539267149174111E-3</v>
      </c>
    </row>
    <row r="77" spans="1:6" x14ac:dyDescent="0.2">
      <c r="A77">
        <v>74</v>
      </c>
      <c r="B77">
        <v>99</v>
      </c>
      <c r="C77">
        <v>80</v>
      </c>
      <c r="D77" s="1" t="s">
        <v>5</v>
      </c>
      <c r="E77" s="1">
        <f t="shared" si="1"/>
        <v>4.2229729729729741E-3</v>
      </c>
    </row>
    <row r="78" spans="1:6" x14ac:dyDescent="0.2">
      <c r="A78">
        <v>60</v>
      </c>
      <c r="B78">
        <v>67</v>
      </c>
      <c r="C78">
        <v>30</v>
      </c>
      <c r="D78" t="s">
        <v>4</v>
      </c>
      <c r="E78">
        <f t="shared" si="1"/>
        <v>3.8888888888888901E-3</v>
      </c>
    </row>
    <row r="79" spans="1:6" x14ac:dyDescent="0.2">
      <c r="A79">
        <v>71</v>
      </c>
      <c r="B79">
        <v>86</v>
      </c>
      <c r="C79">
        <v>71</v>
      </c>
      <c r="D79" s="1" t="s">
        <v>4</v>
      </c>
      <c r="E79" s="1">
        <f t="shared" si="1"/>
        <v>2.9756000793493345E-3</v>
      </c>
      <c r="F79" s="2">
        <f>GEOMEAN(E79:E80)</f>
        <v>4.6761109968894961E-3</v>
      </c>
    </row>
    <row r="80" spans="1:6" x14ac:dyDescent="0.2">
      <c r="A80">
        <v>71</v>
      </c>
      <c r="B80">
        <v>95</v>
      </c>
      <c r="C80">
        <v>46</v>
      </c>
      <c r="D80" s="1" t="s">
        <v>5</v>
      </c>
      <c r="E80" s="1">
        <f t="shared" si="1"/>
        <v>7.3484384568279241E-3</v>
      </c>
    </row>
    <row r="81" spans="1:6" x14ac:dyDescent="0.2">
      <c r="A81">
        <v>25</v>
      </c>
      <c r="B81">
        <v>41</v>
      </c>
      <c r="C81">
        <v>69</v>
      </c>
      <c r="D81" t="s">
        <v>4</v>
      </c>
      <c r="E81">
        <f t="shared" si="1"/>
        <v>9.2753623188405777E-3</v>
      </c>
    </row>
    <row r="82" spans="1:6" x14ac:dyDescent="0.2">
      <c r="A82">
        <v>46</v>
      </c>
      <c r="B82">
        <v>47</v>
      </c>
      <c r="C82">
        <v>60</v>
      </c>
      <c r="D82" t="s">
        <v>4</v>
      </c>
      <c r="E82">
        <f t="shared" si="1"/>
        <v>3.6231884057971178E-4</v>
      </c>
    </row>
    <row r="83" spans="1:6" x14ac:dyDescent="0.2">
      <c r="A83">
        <v>11</v>
      </c>
      <c r="B83">
        <v>17</v>
      </c>
      <c r="C83">
        <v>63</v>
      </c>
      <c r="D83" t="s">
        <v>4</v>
      </c>
      <c r="E83">
        <f t="shared" si="1"/>
        <v>8.658008658008658E-3</v>
      </c>
    </row>
    <row r="84" spans="1:6" x14ac:dyDescent="0.2">
      <c r="A84">
        <v>11</v>
      </c>
      <c r="B84">
        <v>13</v>
      </c>
      <c r="C84">
        <v>63</v>
      </c>
      <c r="D84" s="1" t="s">
        <v>4</v>
      </c>
      <c r="E84" s="1">
        <f t="shared" si="1"/>
        <v>2.8860028860028869E-3</v>
      </c>
      <c r="F84" s="2">
        <f>GEOMEAN(E84:E85)</f>
        <v>2.6854052793293766E-3</v>
      </c>
    </row>
    <row r="85" spans="1:6" x14ac:dyDescent="0.2">
      <c r="A85">
        <v>58</v>
      </c>
      <c r="B85">
        <v>68</v>
      </c>
      <c r="C85">
        <v>69</v>
      </c>
      <c r="D85" s="1" t="s">
        <v>5</v>
      </c>
      <c r="E85" s="1">
        <f t="shared" si="1"/>
        <v>2.4987506246876546E-3</v>
      </c>
    </row>
    <row r="86" spans="1:6" x14ac:dyDescent="0.2">
      <c r="A86">
        <v>12</v>
      </c>
      <c r="B86">
        <v>32</v>
      </c>
      <c r="C86">
        <v>68</v>
      </c>
      <c r="D86" t="s">
        <v>5</v>
      </c>
      <c r="E86">
        <f t="shared" si="1"/>
        <v>2.4509803921568624E-2</v>
      </c>
    </row>
    <row r="87" spans="1:6" x14ac:dyDescent="0.2">
      <c r="A87">
        <v>73</v>
      </c>
      <c r="B87">
        <v>94</v>
      </c>
      <c r="C87">
        <v>42</v>
      </c>
      <c r="D87" t="s">
        <v>5</v>
      </c>
      <c r="E87">
        <f t="shared" si="1"/>
        <v>6.849315068493152E-3</v>
      </c>
    </row>
    <row r="88" spans="1:6" x14ac:dyDescent="0.2">
      <c r="A88">
        <v>17</v>
      </c>
      <c r="B88">
        <v>41</v>
      </c>
      <c r="C88">
        <v>72</v>
      </c>
      <c r="D88" t="s">
        <v>5</v>
      </c>
      <c r="E88">
        <f t="shared" si="1"/>
        <v>1.9607843137254902E-2</v>
      </c>
    </row>
    <row r="89" spans="1:6" x14ac:dyDescent="0.2">
      <c r="A89">
        <v>81</v>
      </c>
      <c r="B89">
        <v>90</v>
      </c>
      <c r="C89">
        <v>71</v>
      </c>
      <c r="D89" t="s">
        <v>4</v>
      </c>
      <c r="E89">
        <f t="shared" si="1"/>
        <v>1.5649452269170586E-3</v>
      </c>
    </row>
    <row r="90" spans="1:6" x14ac:dyDescent="0.2">
      <c r="A90">
        <v>10</v>
      </c>
      <c r="B90">
        <v>29</v>
      </c>
      <c r="C90">
        <v>11</v>
      </c>
      <c r="D90" s="1" t="s">
        <v>4</v>
      </c>
      <c r="E90" s="1">
        <f t="shared" si="1"/>
        <v>0.17272727272727273</v>
      </c>
      <c r="F90" s="2">
        <f>GEOMEAN(E90:E91)</f>
        <v>6.9383186386595033E-2</v>
      </c>
    </row>
    <row r="91" spans="1:6" x14ac:dyDescent="0.2">
      <c r="A91">
        <v>13</v>
      </c>
      <c r="B91">
        <v>38</v>
      </c>
      <c r="C91">
        <v>69</v>
      </c>
      <c r="D91" s="1" t="s">
        <v>5</v>
      </c>
      <c r="E91" s="1">
        <f t="shared" si="1"/>
        <v>2.7870680044593085E-2</v>
      </c>
    </row>
    <row r="92" spans="1:6" x14ac:dyDescent="0.2">
      <c r="A92">
        <v>36</v>
      </c>
      <c r="B92">
        <v>61</v>
      </c>
      <c r="C92">
        <v>86</v>
      </c>
      <c r="D92" t="s">
        <v>5</v>
      </c>
      <c r="E92">
        <f t="shared" si="1"/>
        <v>8.0749354005167952E-3</v>
      </c>
    </row>
    <row r="93" spans="1:6" x14ac:dyDescent="0.2">
      <c r="A93">
        <v>36</v>
      </c>
      <c r="B93">
        <v>45</v>
      </c>
      <c r="C93">
        <v>88</v>
      </c>
      <c r="D93" t="s">
        <v>5</v>
      </c>
      <c r="E93">
        <f t="shared" si="1"/>
        <v>2.840909090909091E-3</v>
      </c>
    </row>
    <row r="94" spans="1:6" x14ac:dyDescent="0.2">
      <c r="A94">
        <v>53</v>
      </c>
      <c r="B94">
        <v>77</v>
      </c>
      <c r="C94">
        <v>88</v>
      </c>
      <c r="D94" t="s">
        <v>5</v>
      </c>
      <c r="E94">
        <f t="shared" si="1"/>
        <v>5.1457975986277859E-3</v>
      </c>
    </row>
    <row r="95" spans="1:6" x14ac:dyDescent="0.2">
      <c r="A95">
        <v>17</v>
      </c>
      <c r="B95">
        <v>32</v>
      </c>
      <c r="C95">
        <v>44</v>
      </c>
      <c r="D95" t="s">
        <v>5</v>
      </c>
      <c r="E95">
        <f t="shared" si="1"/>
        <v>2.0053475935828877E-2</v>
      </c>
    </row>
    <row r="96" spans="1:6" x14ac:dyDescent="0.2">
      <c r="A96">
        <v>27</v>
      </c>
      <c r="B96">
        <v>39</v>
      </c>
      <c r="C96">
        <v>43</v>
      </c>
      <c r="D96" t="s">
        <v>4</v>
      </c>
      <c r="E96">
        <f t="shared" si="1"/>
        <v>1.0335917312661497E-2</v>
      </c>
    </row>
    <row r="97" spans="1:6" x14ac:dyDescent="0.2">
      <c r="A97">
        <v>21</v>
      </c>
      <c r="B97">
        <v>26</v>
      </c>
      <c r="C97">
        <v>46</v>
      </c>
      <c r="D97" s="1" t="s">
        <v>4</v>
      </c>
      <c r="E97" s="1">
        <f t="shared" si="1"/>
        <v>5.1759834368530029E-3</v>
      </c>
      <c r="F97" s="2">
        <f>GEOMEAN(E97:E98)</f>
        <v>1.3399053394602867E-3</v>
      </c>
    </row>
    <row r="98" spans="1:6" x14ac:dyDescent="0.2">
      <c r="A98">
        <v>62</v>
      </c>
      <c r="B98">
        <v>64</v>
      </c>
      <c r="C98">
        <v>93</v>
      </c>
      <c r="D98" s="1" t="s">
        <v>5</v>
      </c>
      <c r="E98" s="1">
        <f t="shared" si="1"/>
        <v>3.4686090877558066E-4</v>
      </c>
    </row>
    <row r="99" spans="1:6" x14ac:dyDescent="0.2">
      <c r="A99">
        <v>34</v>
      </c>
      <c r="B99">
        <v>52</v>
      </c>
      <c r="C99">
        <v>91</v>
      </c>
      <c r="D99" t="s">
        <v>5</v>
      </c>
      <c r="E99">
        <f t="shared" si="1"/>
        <v>5.8177117000646405E-3</v>
      </c>
    </row>
    <row r="100" spans="1:6" x14ac:dyDescent="0.2">
      <c r="A100">
        <v>81</v>
      </c>
      <c r="B100">
        <v>85</v>
      </c>
      <c r="C100">
        <v>47</v>
      </c>
      <c r="D100" t="s">
        <v>4</v>
      </c>
      <c r="E100">
        <f t="shared" si="1"/>
        <v>1.0506960861570789E-3</v>
      </c>
    </row>
    <row r="101" spans="1:6" x14ac:dyDescent="0.2">
      <c r="A101">
        <v>77</v>
      </c>
      <c r="B101">
        <v>78</v>
      </c>
      <c r="C101">
        <v>23</v>
      </c>
      <c r="D101" t="s">
        <v>4</v>
      </c>
      <c r="E101">
        <f t="shared" si="1"/>
        <v>5.6465273856577745E-4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D3124-793C-334B-803A-A546A527D838}">
  <dimension ref="A1:I101"/>
  <sheetViews>
    <sheetView zoomScale="160" zoomScaleNormal="160" workbookViewId="0">
      <selection sqref="A1:E1"/>
    </sheetView>
  </sheetViews>
  <sheetFormatPr baseColWidth="10" defaultRowHeight="16" x14ac:dyDescent="0.2"/>
  <cols>
    <col min="1" max="1" width="12.5" bestFit="1" customWidth="1"/>
    <col min="2" max="2" width="13" bestFit="1" customWidth="1"/>
    <col min="4" max="4" width="12.33203125" bestFit="1" customWidth="1"/>
    <col min="6" max="6" width="10.83203125" style="2"/>
    <col min="8" max="8" width="19.33203125" bestFit="1" customWidth="1"/>
  </cols>
  <sheetData>
    <row r="1" spans="1:9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6</v>
      </c>
      <c r="F1" s="2" t="s">
        <v>8</v>
      </c>
    </row>
    <row r="2" spans="1:9" x14ac:dyDescent="0.2">
      <c r="A2">
        <v>85</v>
      </c>
      <c r="B2">
        <v>99</v>
      </c>
      <c r="C2">
        <v>98</v>
      </c>
      <c r="D2" t="s">
        <v>4</v>
      </c>
      <c r="E2">
        <f>((B2/A2)-1)/C2</f>
        <v>1.6806722689075638E-3</v>
      </c>
      <c r="H2" s="3" t="s">
        <v>7</v>
      </c>
      <c r="I2" s="1">
        <f>AVERAGE(F3,F8,F11,F15,F20,F22,F27,F32,F42,F45,F54,F59,F61,F65)</f>
        <v>9.9663568977666067E-3</v>
      </c>
    </row>
    <row r="3" spans="1:9" x14ac:dyDescent="0.2">
      <c r="A3">
        <v>81</v>
      </c>
      <c r="B3">
        <v>85</v>
      </c>
      <c r="C3">
        <v>47</v>
      </c>
      <c r="D3" s="1" t="s">
        <v>4</v>
      </c>
      <c r="E3" s="1">
        <f t="shared" ref="E3:E66" si="0">((B3/A3)-1)/C3</f>
        <v>1.0506960861570789E-3</v>
      </c>
      <c r="F3" s="2">
        <f>GEOMEAN(E3:E4)</f>
        <v>3.4089003908222872E-3</v>
      </c>
    </row>
    <row r="4" spans="1:9" x14ac:dyDescent="0.2">
      <c r="A4">
        <v>62</v>
      </c>
      <c r="B4">
        <v>86</v>
      </c>
      <c r="C4">
        <v>35</v>
      </c>
      <c r="D4" s="1" t="s">
        <v>5</v>
      </c>
      <c r="E4" s="1">
        <f t="shared" si="0"/>
        <v>1.1059907834101386E-2</v>
      </c>
    </row>
    <row r="5" spans="1:9" x14ac:dyDescent="0.2">
      <c r="A5">
        <v>20</v>
      </c>
      <c r="B5">
        <v>39</v>
      </c>
      <c r="C5">
        <v>90</v>
      </c>
      <c r="D5" t="s">
        <v>5</v>
      </c>
      <c r="E5">
        <f t="shared" si="0"/>
        <v>1.0555555555555556E-2</v>
      </c>
    </row>
    <row r="6" spans="1:9" x14ac:dyDescent="0.2">
      <c r="A6">
        <v>59</v>
      </c>
      <c r="B6">
        <v>82</v>
      </c>
      <c r="C6">
        <v>40</v>
      </c>
      <c r="D6" t="s">
        <v>5</v>
      </c>
      <c r="E6">
        <f t="shared" si="0"/>
        <v>9.7457627118644093E-3</v>
      </c>
    </row>
    <row r="7" spans="1:9" x14ac:dyDescent="0.2">
      <c r="A7">
        <v>57</v>
      </c>
      <c r="B7">
        <v>72</v>
      </c>
      <c r="C7">
        <v>81</v>
      </c>
      <c r="D7" t="s">
        <v>5</v>
      </c>
      <c r="E7">
        <f t="shared" si="0"/>
        <v>3.248862897985704E-3</v>
      </c>
    </row>
    <row r="8" spans="1:9" x14ac:dyDescent="0.2">
      <c r="A8">
        <v>17</v>
      </c>
      <c r="B8">
        <v>20</v>
      </c>
      <c r="C8">
        <v>44</v>
      </c>
      <c r="D8" s="1" t="s">
        <v>4</v>
      </c>
      <c r="E8" s="1">
        <f t="shared" si="0"/>
        <v>4.0106951871657767E-3</v>
      </c>
      <c r="F8" s="2">
        <f>GEOMEAN(E8:E9)</f>
        <v>1.1180096844557116E-2</v>
      </c>
    </row>
    <row r="9" spans="1:9" x14ac:dyDescent="0.2">
      <c r="A9">
        <v>41</v>
      </c>
      <c r="B9">
        <v>64</v>
      </c>
      <c r="C9">
        <v>18</v>
      </c>
      <c r="D9" s="1" t="s">
        <v>5</v>
      </c>
      <c r="E9" s="1">
        <f t="shared" si="0"/>
        <v>3.1165311653116534E-2</v>
      </c>
    </row>
    <row r="10" spans="1:9" x14ac:dyDescent="0.2">
      <c r="A10">
        <v>12</v>
      </c>
      <c r="B10">
        <v>32</v>
      </c>
      <c r="C10">
        <v>68</v>
      </c>
      <c r="D10" t="s">
        <v>5</v>
      </c>
      <c r="E10">
        <f t="shared" si="0"/>
        <v>2.4509803921568624E-2</v>
      </c>
    </row>
    <row r="11" spans="1:9" x14ac:dyDescent="0.2">
      <c r="A11">
        <v>84</v>
      </c>
      <c r="B11">
        <v>95</v>
      </c>
      <c r="C11">
        <v>97</v>
      </c>
      <c r="D11" s="1" t="s">
        <v>4</v>
      </c>
      <c r="E11" s="1">
        <f t="shared" si="0"/>
        <v>1.3500245459008343E-3</v>
      </c>
      <c r="F11" s="2">
        <f>GEOMEAN(E11:E12)</f>
        <v>3.4993028731077273E-3</v>
      </c>
    </row>
    <row r="12" spans="1:9" x14ac:dyDescent="0.2">
      <c r="A12">
        <v>63</v>
      </c>
      <c r="B12">
        <v>87</v>
      </c>
      <c r="C12">
        <v>42</v>
      </c>
      <c r="D12" s="1" t="s">
        <v>5</v>
      </c>
      <c r="E12" s="1">
        <f t="shared" si="0"/>
        <v>9.0702947845804991E-3</v>
      </c>
    </row>
    <row r="13" spans="1:9" x14ac:dyDescent="0.2">
      <c r="A13">
        <v>65</v>
      </c>
      <c r="B13">
        <v>82</v>
      </c>
      <c r="C13">
        <v>47</v>
      </c>
      <c r="D13" t="s">
        <v>5</v>
      </c>
      <c r="E13">
        <f t="shared" si="0"/>
        <v>5.5646481178396063E-3</v>
      </c>
    </row>
    <row r="14" spans="1:9" x14ac:dyDescent="0.2">
      <c r="A14">
        <v>10</v>
      </c>
      <c r="B14">
        <v>21</v>
      </c>
      <c r="C14">
        <v>66</v>
      </c>
      <c r="D14" t="s">
        <v>5</v>
      </c>
      <c r="E14">
        <f t="shared" si="0"/>
        <v>1.6666666666666666E-2</v>
      </c>
    </row>
    <row r="15" spans="1:9" x14ac:dyDescent="0.2">
      <c r="A15">
        <v>49</v>
      </c>
      <c r="B15">
        <v>56</v>
      </c>
      <c r="C15">
        <v>91</v>
      </c>
      <c r="D15" s="1" t="s">
        <v>4</v>
      </c>
      <c r="E15" s="1">
        <f t="shared" si="0"/>
        <v>1.5698587127158548E-3</v>
      </c>
      <c r="F15" s="2">
        <f>GEOMEAN(E15:E16)</f>
        <v>4.723873214646815E-3</v>
      </c>
    </row>
    <row r="16" spans="1:9" x14ac:dyDescent="0.2">
      <c r="A16">
        <v>67</v>
      </c>
      <c r="B16">
        <v>87</v>
      </c>
      <c r="C16">
        <v>21</v>
      </c>
      <c r="D16" s="1" t="s">
        <v>5</v>
      </c>
      <c r="E16" s="1">
        <f t="shared" si="0"/>
        <v>1.421464108031272E-2</v>
      </c>
    </row>
    <row r="17" spans="1:6" x14ac:dyDescent="0.2">
      <c r="A17">
        <v>17</v>
      </c>
      <c r="B17">
        <v>24</v>
      </c>
      <c r="C17">
        <v>76</v>
      </c>
      <c r="D17" t="s">
        <v>4</v>
      </c>
      <c r="E17">
        <f t="shared" si="0"/>
        <v>5.4179566563467502E-3</v>
      </c>
    </row>
    <row r="18" spans="1:6" x14ac:dyDescent="0.2">
      <c r="A18">
        <v>42</v>
      </c>
      <c r="B18">
        <v>58</v>
      </c>
      <c r="C18">
        <v>32</v>
      </c>
      <c r="D18" t="s">
        <v>4</v>
      </c>
      <c r="E18">
        <f t="shared" si="0"/>
        <v>1.1904761904761904E-2</v>
      </c>
    </row>
    <row r="19" spans="1:6" x14ac:dyDescent="0.2">
      <c r="A19">
        <v>44</v>
      </c>
      <c r="B19">
        <v>45</v>
      </c>
      <c r="C19">
        <v>56</v>
      </c>
      <c r="D19" t="s">
        <v>4</v>
      </c>
      <c r="E19">
        <f t="shared" si="0"/>
        <v>4.0584415584415549E-4</v>
      </c>
    </row>
    <row r="20" spans="1:6" x14ac:dyDescent="0.2">
      <c r="A20">
        <v>87</v>
      </c>
      <c r="B20">
        <v>99</v>
      </c>
      <c r="C20">
        <v>71</v>
      </c>
      <c r="D20" s="1" t="s">
        <v>4</v>
      </c>
      <c r="E20" s="1">
        <f t="shared" si="0"/>
        <v>1.9426906265177278E-3</v>
      </c>
      <c r="F20" s="2">
        <f>GEOMEAN(E20:E21)</f>
        <v>3.7438652335323569E-3</v>
      </c>
    </row>
    <row r="21" spans="1:6" x14ac:dyDescent="0.2">
      <c r="A21">
        <v>33</v>
      </c>
      <c r="B21">
        <v>53</v>
      </c>
      <c r="C21">
        <v>84</v>
      </c>
      <c r="D21" s="1" t="s">
        <v>5</v>
      </c>
      <c r="E21" s="1">
        <f t="shared" si="0"/>
        <v>7.2150072150072141E-3</v>
      </c>
    </row>
    <row r="22" spans="1:6" x14ac:dyDescent="0.2">
      <c r="A22">
        <v>34</v>
      </c>
      <c r="B22">
        <v>52</v>
      </c>
      <c r="C22">
        <v>91</v>
      </c>
      <c r="D22" s="1" t="s">
        <v>4</v>
      </c>
      <c r="E22" s="1">
        <f t="shared" si="0"/>
        <v>5.8177117000646405E-3</v>
      </c>
      <c r="F22" s="2">
        <f>GEOMEAN(E22:E23)</f>
        <v>6.2277399325194683E-3</v>
      </c>
    </row>
    <row r="23" spans="1:6" x14ac:dyDescent="0.2">
      <c r="A23">
        <v>75</v>
      </c>
      <c r="B23">
        <v>97</v>
      </c>
      <c r="C23">
        <v>44</v>
      </c>
      <c r="D23" s="1" t="s">
        <v>5</v>
      </c>
      <c r="E23" s="1">
        <f t="shared" si="0"/>
        <v>6.6666666666666645E-3</v>
      </c>
    </row>
    <row r="24" spans="1:6" x14ac:dyDescent="0.2">
      <c r="A24">
        <v>74</v>
      </c>
      <c r="B24">
        <v>99</v>
      </c>
      <c r="C24">
        <v>80</v>
      </c>
      <c r="D24" t="s">
        <v>5</v>
      </c>
      <c r="E24">
        <f t="shared" si="0"/>
        <v>4.2229729729729741E-3</v>
      </c>
    </row>
    <row r="25" spans="1:6" x14ac:dyDescent="0.2">
      <c r="A25">
        <v>80</v>
      </c>
      <c r="B25">
        <v>99</v>
      </c>
      <c r="C25">
        <v>95</v>
      </c>
      <c r="D25" t="s">
        <v>4</v>
      </c>
      <c r="E25">
        <f t="shared" si="0"/>
        <v>2.5000000000000005E-3</v>
      </c>
    </row>
    <row r="26" spans="1:6" x14ac:dyDescent="0.2">
      <c r="A26">
        <v>60</v>
      </c>
      <c r="B26">
        <v>67</v>
      </c>
      <c r="C26">
        <v>61</v>
      </c>
      <c r="D26" t="s">
        <v>4</v>
      </c>
      <c r="E26">
        <f t="shared" si="0"/>
        <v>1.9125683060109294E-3</v>
      </c>
    </row>
    <row r="27" spans="1:6" x14ac:dyDescent="0.2">
      <c r="A27">
        <v>82</v>
      </c>
      <c r="B27">
        <v>89</v>
      </c>
      <c r="C27">
        <v>27</v>
      </c>
      <c r="D27" s="1" t="s">
        <v>4</v>
      </c>
      <c r="E27" s="1">
        <f t="shared" si="0"/>
        <v>3.1616982836495059E-3</v>
      </c>
      <c r="F27" s="2">
        <f>GEOMEAN(E27:E28)</f>
        <v>1.1724552987955226E-2</v>
      </c>
    </row>
    <row r="28" spans="1:6" x14ac:dyDescent="0.2">
      <c r="A28">
        <v>23</v>
      </c>
      <c r="B28">
        <v>41</v>
      </c>
      <c r="C28">
        <v>18</v>
      </c>
      <c r="D28" s="1" t="s">
        <v>5</v>
      </c>
      <c r="E28" s="1">
        <f t="shared" si="0"/>
        <v>4.3478260869565216E-2</v>
      </c>
    </row>
    <row r="29" spans="1:6" x14ac:dyDescent="0.2">
      <c r="A29">
        <v>65</v>
      </c>
      <c r="B29">
        <v>82</v>
      </c>
      <c r="C29">
        <v>68</v>
      </c>
      <c r="D29" t="s">
        <v>5</v>
      </c>
      <c r="E29">
        <f t="shared" si="0"/>
        <v>3.8461538461538455E-3</v>
      </c>
    </row>
    <row r="30" spans="1:6" x14ac:dyDescent="0.2">
      <c r="A30">
        <v>49</v>
      </c>
      <c r="B30">
        <v>70</v>
      </c>
      <c r="C30">
        <v>89</v>
      </c>
      <c r="D30" t="s">
        <v>5</v>
      </c>
      <c r="E30">
        <f t="shared" si="0"/>
        <v>4.8154093097913329E-3</v>
      </c>
    </row>
    <row r="31" spans="1:6" x14ac:dyDescent="0.2">
      <c r="A31">
        <v>61</v>
      </c>
      <c r="B31">
        <v>76</v>
      </c>
      <c r="C31">
        <v>81</v>
      </c>
      <c r="D31" t="s">
        <v>4</v>
      </c>
      <c r="E31">
        <f t="shared" si="0"/>
        <v>3.0358227079538562E-3</v>
      </c>
    </row>
    <row r="32" spans="1:6" x14ac:dyDescent="0.2">
      <c r="A32">
        <v>30</v>
      </c>
      <c r="B32">
        <v>46</v>
      </c>
      <c r="C32">
        <v>29</v>
      </c>
      <c r="D32" s="1" t="s">
        <v>4</v>
      </c>
      <c r="E32" s="1">
        <f t="shared" si="0"/>
        <v>1.8390804597701153E-2</v>
      </c>
      <c r="F32" s="2">
        <f>GEOMEAN(E32:E33)</f>
        <v>1.8989576396529501E-2</v>
      </c>
    </row>
    <row r="33" spans="1:6" x14ac:dyDescent="0.2">
      <c r="A33">
        <v>17</v>
      </c>
      <c r="B33">
        <v>41</v>
      </c>
      <c r="C33">
        <v>72</v>
      </c>
      <c r="D33" s="1" t="s">
        <v>5</v>
      </c>
      <c r="E33" s="1">
        <f t="shared" si="0"/>
        <v>1.9607843137254902E-2</v>
      </c>
    </row>
    <row r="34" spans="1:6" x14ac:dyDescent="0.2">
      <c r="A34">
        <v>25</v>
      </c>
      <c r="B34">
        <v>41</v>
      </c>
      <c r="C34">
        <v>69</v>
      </c>
      <c r="D34" t="s">
        <v>5</v>
      </c>
      <c r="E34">
        <f t="shared" si="0"/>
        <v>9.2753623188405777E-3</v>
      </c>
    </row>
    <row r="35" spans="1:6" x14ac:dyDescent="0.2">
      <c r="A35">
        <v>38</v>
      </c>
      <c r="B35">
        <v>53</v>
      </c>
      <c r="C35">
        <v>54</v>
      </c>
      <c r="D35" t="s">
        <v>5</v>
      </c>
      <c r="E35">
        <f t="shared" si="0"/>
        <v>7.3099415204678341E-3</v>
      </c>
    </row>
    <row r="36" spans="1:6" x14ac:dyDescent="0.2">
      <c r="A36">
        <v>14</v>
      </c>
      <c r="B36">
        <v>37</v>
      </c>
      <c r="C36">
        <v>23</v>
      </c>
      <c r="D36" t="s">
        <v>5</v>
      </c>
      <c r="E36">
        <f t="shared" si="0"/>
        <v>7.1428571428571425E-2</v>
      </c>
    </row>
    <row r="37" spans="1:6" x14ac:dyDescent="0.2">
      <c r="A37">
        <v>39</v>
      </c>
      <c r="B37">
        <v>50</v>
      </c>
      <c r="C37">
        <v>98</v>
      </c>
      <c r="D37" t="s">
        <v>5</v>
      </c>
      <c r="E37">
        <f t="shared" si="0"/>
        <v>2.8780743066457361E-3</v>
      </c>
    </row>
    <row r="38" spans="1:6" x14ac:dyDescent="0.2">
      <c r="A38">
        <v>83</v>
      </c>
      <c r="B38">
        <v>87</v>
      </c>
      <c r="C38">
        <v>23</v>
      </c>
      <c r="D38" t="s">
        <v>4</v>
      </c>
      <c r="E38">
        <f t="shared" si="0"/>
        <v>2.0953378732320557E-3</v>
      </c>
    </row>
    <row r="39" spans="1:6" x14ac:dyDescent="0.2">
      <c r="A39">
        <v>36</v>
      </c>
      <c r="B39">
        <v>45</v>
      </c>
      <c r="C39">
        <v>88</v>
      </c>
      <c r="D39" t="s">
        <v>4</v>
      </c>
      <c r="E39">
        <f t="shared" si="0"/>
        <v>2.840909090909091E-3</v>
      </c>
    </row>
    <row r="40" spans="1:6" x14ac:dyDescent="0.2">
      <c r="A40">
        <v>33</v>
      </c>
      <c r="B40">
        <v>36</v>
      </c>
      <c r="C40">
        <v>31</v>
      </c>
      <c r="D40" t="s">
        <v>4</v>
      </c>
      <c r="E40">
        <f t="shared" si="0"/>
        <v>2.9325513196480912E-3</v>
      </c>
    </row>
    <row r="41" spans="1:6" x14ac:dyDescent="0.2">
      <c r="A41">
        <v>81</v>
      </c>
      <c r="B41">
        <v>93</v>
      </c>
      <c r="C41">
        <v>43</v>
      </c>
      <c r="D41" t="s">
        <v>4</v>
      </c>
      <c r="E41">
        <f t="shared" si="0"/>
        <v>3.4453057708871662E-3</v>
      </c>
    </row>
    <row r="42" spans="1:6" x14ac:dyDescent="0.2">
      <c r="A42">
        <v>27</v>
      </c>
      <c r="B42">
        <v>39</v>
      </c>
      <c r="C42">
        <v>43</v>
      </c>
      <c r="D42" s="1" t="s">
        <v>4</v>
      </c>
      <c r="E42" s="1">
        <f t="shared" si="0"/>
        <v>1.0335917312661497E-2</v>
      </c>
      <c r="F42" s="2">
        <f>GEOMEAN(E42:E43)</f>
        <v>5.8055213541473956E-3</v>
      </c>
    </row>
    <row r="43" spans="1:6" x14ac:dyDescent="0.2">
      <c r="A43">
        <v>70</v>
      </c>
      <c r="B43">
        <v>91</v>
      </c>
      <c r="C43">
        <v>92</v>
      </c>
      <c r="D43" s="1" t="s">
        <v>5</v>
      </c>
      <c r="E43" s="1">
        <f t="shared" si="0"/>
        <v>3.260869565217392E-3</v>
      </c>
    </row>
    <row r="44" spans="1:6" x14ac:dyDescent="0.2">
      <c r="A44">
        <v>60</v>
      </c>
      <c r="B44">
        <v>67</v>
      </c>
      <c r="C44">
        <v>30</v>
      </c>
      <c r="D44" t="s">
        <v>4</v>
      </c>
      <c r="E44">
        <f t="shared" si="0"/>
        <v>3.8888888888888901E-3</v>
      </c>
    </row>
    <row r="45" spans="1:6" x14ac:dyDescent="0.2">
      <c r="A45">
        <v>11</v>
      </c>
      <c r="B45">
        <v>30</v>
      </c>
      <c r="C45">
        <v>7</v>
      </c>
      <c r="D45" s="1" t="s">
        <v>4</v>
      </c>
      <c r="E45" s="1">
        <f t="shared" si="0"/>
        <v>0.24675324675324672</v>
      </c>
      <c r="F45" s="2">
        <f>GEOMEAN(E45:E46)</f>
        <v>4.2582285610200735E-2</v>
      </c>
    </row>
    <row r="46" spans="1:6" x14ac:dyDescent="0.2">
      <c r="A46">
        <v>71</v>
      </c>
      <c r="B46">
        <v>95</v>
      </c>
      <c r="C46">
        <v>46</v>
      </c>
      <c r="D46" s="1" t="s">
        <v>5</v>
      </c>
      <c r="E46" s="1">
        <f t="shared" si="0"/>
        <v>7.3484384568279241E-3</v>
      </c>
    </row>
    <row r="47" spans="1:6" x14ac:dyDescent="0.2">
      <c r="A47">
        <v>62</v>
      </c>
      <c r="B47">
        <v>74</v>
      </c>
      <c r="C47">
        <v>99</v>
      </c>
      <c r="D47" t="s">
        <v>4</v>
      </c>
      <c r="E47">
        <f t="shared" si="0"/>
        <v>1.9550342130987297E-3</v>
      </c>
    </row>
    <row r="48" spans="1:6" x14ac:dyDescent="0.2">
      <c r="A48">
        <v>46</v>
      </c>
      <c r="B48">
        <v>47</v>
      </c>
      <c r="C48">
        <v>60</v>
      </c>
      <c r="D48" t="s">
        <v>4</v>
      </c>
      <c r="E48">
        <f t="shared" si="0"/>
        <v>3.6231884057971178E-4</v>
      </c>
    </row>
    <row r="49" spans="1:6" x14ac:dyDescent="0.2">
      <c r="A49">
        <v>11</v>
      </c>
      <c r="B49">
        <v>13</v>
      </c>
      <c r="C49">
        <v>63</v>
      </c>
      <c r="D49" t="s">
        <v>4</v>
      </c>
      <c r="E49">
        <f t="shared" si="0"/>
        <v>2.8860028860028869E-3</v>
      </c>
    </row>
    <row r="50" spans="1:6" x14ac:dyDescent="0.2">
      <c r="A50">
        <v>58</v>
      </c>
      <c r="B50">
        <v>68</v>
      </c>
      <c r="C50">
        <v>69</v>
      </c>
      <c r="D50" t="s">
        <v>4</v>
      </c>
      <c r="E50">
        <f t="shared" si="0"/>
        <v>2.4987506246876546E-3</v>
      </c>
    </row>
    <row r="51" spans="1:6" x14ac:dyDescent="0.2">
      <c r="A51">
        <v>59</v>
      </c>
      <c r="B51">
        <v>67</v>
      </c>
      <c r="C51">
        <v>13</v>
      </c>
      <c r="D51" t="s">
        <v>4</v>
      </c>
      <c r="E51">
        <f t="shared" si="0"/>
        <v>1.0430247718383318E-2</v>
      </c>
    </row>
    <row r="52" spans="1:6" x14ac:dyDescent="0.2">
      <c r="A52">
        <v>77</v>
      </c>
      <c r="B52">
        <v>78</v>
      </c>
      <c r="C52">
        <v>23</v>
      </c>
      <c r="D52" t="s">
        <v>4</v>
      </c>
      <c r="E52">
        <f t="shared" si="0"/>
        <v>5.6465273856577745E-4</v>
      </c>
    </row>
    <row r="53" spans="1:6" x14ac:dyDescent="0.2">
      <c r="A53">
        <v>87</v>
      </c>
      <c r="B53">
        <v>99</v>
      </c>
      <c r="C53">
        <v>45</v>
      </c>
      <c r="D53" t="s">
        <v>4</v>
      </c>
      <c r="E53">
        <f t="shared" si="0"/>
        <v>3.0651340996168596E-3</v>
      </c>
    </row>
    <row r="54" spans="1:6" x14ac:dyDescent="0.2">
      <c r="A54">
        <v>37</v>
      </c>
      <c r="B54">
        <v>39</v>
      </c>
      <c r="C54">
        <v>51</v>
      </c>
      <c r="D54" s="1" t="s">
        <v>4</v>
      </c>
      <c r="E54" s="1">
        <f t="shared" si="0"/>
        <v>1.0598834128245872E-3</v>
      </c>
      <c r="F54" s="2">
        <f>GEOMEAN(E54:E55)</f>
        <v>6.5569434224945497E-3</v>
      </c>
    </row>
    <row r="55" spans="1:6" x14ac:dyDescent="0.2">
      <c r="A55">
        <v>27</v>
      </c>
      <c r="B55">
        <v>50</v>
      </c>
      <c r="C55">
        <v>21</v>
      </c>
      <c r="D55" s="1" t="s">
        <v>5</v>
      </c>
      <c r="E55" s="1">
        <f t="shared" si="0"/>
        <v>4.0564373897707229E-2</v>
      </c>
    </row>
    <row r="56" spans="1:6" x14ac:dyDescent="0.2">
      <c r="A56">
        <v>36</v>
      </c>
      <c r="B56">
        <v>61</v>
      </c>
      <c r="C56">
        <v>86</v>
      </c>
      <c r="D56" t="s">
        <v>5</v>
      </c>
      <c r="E56">
        <f t="shared" si="0"/>
        <v>8.0749354005167952E-3</v>
      </c>
    </row>
    <row r="57" spans="1:6" x14ac:dyDescent="0.2">
      <c r="A57">
        <v>15</v>
      </c>
      <c r="B57">
        <v>35</v>
      </c>
      <c r="C57">
        <v>13</v>
      </c>
      <c r="D57" t="s">
        <v>4</v>
      </c>
      <c r="E57">
        <f t="shared" si="0"/>
        <v>0.10256410256410257</v>
      </c>
    </row>
    <row r="58" spans="1:6" x14ac:dyDescent="0.2">
      <c r="A58">
        <v>37</v>
      </c>
      <c r="B58">
        <v>49</v>
      </c>
      <c r="C58">
        <v>53</v>
      </c>
      <c r="D58" t="s">
        <v>4</v>
      </c>
      <c r="E58">
        <f t="shared" si="0"/>
        <v>6.1193268740438551E-3</v>
      </c>
    </row>
    <row r="59" spans="1:6" x14ac:dyDescent="0.2">
      <c r="A59">
        <v>82</v>
      </c>
      <c r="B59">
        <v>88</v>
      </c>
      <c r="C59">
        <v>89</v>
      </c>
      <c r="D59" s="1" t="s">
        <v>4</v>
      </c>
      <c r="E59" s="1">
        <f t="shared" si="0"/>
        <v>8.2214305289120379E-4</v>
      </c>
      <c r="F59" s="2">
        <f>GEOMEAN(E59:E60)</f>
        <v>2.3729974295444746E-3</v>
      </c>
    </row>
    <row r="60" spans="1:6" x14ac:dyDescent="0.2">
      <c r="A60">
        <v>73</v>
      </c>
      <c r="B60">
        <v>94</v>
      </c>
      <c r="C60">
        <v>42</v>
      </c>
      <c r="D60" s="1" t="s">
        <v>5</v>
      </c>
      <c r="E60" s="1">
        <f t="shared" si="0"/>
        <v>6.849315068493152E-3</v>
      </c>
    </row>
    <row r="61" spans="1:6" x14ac:dyDescent="0.2">
      <c r="A61">
        <v>67</v>
      </c>
      <c r="B61">
        <v>75</v>
      </c>
      <c r="C61">
        <v>119</v>
      </c>
      <c r="D61" s="1" t="s">
        <v>4</v>
      </c>
      <c r="E61" s="1">
        <f t="shared" si="0"/>
        <v>1.0033864291985443E-3</v>
      </c>
      <c r="F61" s="2">
        <f>GEOMEAN(E61:E62)</f>
        <v>2.2722727560452725E-3</v>
      </c>
    </row>
    <row r="62" spans="1:6" x14ac:dyDescent="0.2">
      <c r="A62">
        <v>53</v>
      </c>
      <c r="B62">
        <v>77</v>
      </c>
      <c r="C62">
        <v>88</v>
      </c>
      <c r="D62" s="1" t="s">
        <v>5</v>
      </c>
      <c r="E62" s="1">
        <f t="shared" si="0"/>
        <v>5.1457975986277859E-3</v>
      </c>
    </row>
    <row r="63" spans="1:6" x14ac:dyDescent="0.2">
      <c r="A63">
        <v>60</v>
      </c>
      <c r="B63">
        <v>72</v>
      </c>
      <c r="C63">
        <v>64</v>
      </c>
      <c r="D63" t="s">
        <v>4</v>
      </c>
      <c r="E63">
        <f t="shared" si="0"/>
        <v>3.1249999999999993E-3</v>
      </c>
    </row>
    <row r="64" spans="1:6" x14ac:dyDescent="0.2">
      <c r="A64">
        <v>11</v>
      </c>
      <c r="B64">
        <v>12</v>
      </c>
      <c r="C64">
        <v>57</v>
      </c>
      <c r="D64" t="s">
        <v>4</v>
      </c>
      <c r="E64">
        <f t="shared" si="0"/>
        <v>1.5948963317384355E-3</v>
      </c>
    </row>
    <row r="65" spans="1:6" x14ac:dyDescent="0.2">
      <c r="A65">
        <v>81</v>
      </c>
      <c r="B65">
        <v>90</v>
      </c>
      <c r="C65">
        <v>71</v>
      </c>
      <c r="D65" s="1" t="s">
        <v>4</v>
      </c>
      <c r="E65" s="1">
        <f t="shared" si="0"/>
        <v>1.5649452269170586E-3</v>
      </c>
      <c r="F65" s="2">
        <f>GEOMEAN(E65:E66)</f>
        <v>1.644106812262958E-2</v>
      </c>
    </row>
    <row r="66" spans="1:6" x14ac:dyDescent="0.2">
      <c r="A66">
        <v>10</v>
      </c>
      <c r="B66">
        <v>29</v>
      </c>
      <c r="C66">
        <v>11</v>
      </c>
      <c r="D66" s="1" t="s">
        <v>5</v>
      </c>
      <c r="E66" s="1">
        <f t="shared" si="0"/>
        <v>0.17272727272727273</v>
      </c>
    </row>
    <row r="67" spans="1:6" x14ac:dyDescent="0.2">
      <c r="A67">
        <v>40</v>
      </c>
      <c r="B67">
        <v>55</v>
      </c>
      <c r="C67">
        <v>62</v>
      </c>
      <c r="D67" t="s">
        <v>4</v>
      </c>
      <c r="E67">
        <f t="shared" ref="E67:E101" si="1">((B67/A67)-1)/C67</f>
        <v>6.0483870967741934E-3</v>
      </c>
    </row>
    <row r="68" spans="1:6" x14ac:dyDescent="0.2">
      <c r="A68">
        <v>62</v>
      </c>
      <c r="B68">
        <v>64</v>
      </c>
      <c r="C68">
        <v>93</v>
      </c>
      <c r="D68" t="s">
        <v>4</v>
      </c>
      <c r="E68">
        <f t="shared" si="1"/>
        <v>3.4686090877558066E-4</v>
      </c>
    </row>
    <row r="69" spans="1:6" x14ac:dyDescent="0.2">
      <c r="A69">
        <v>24</v>
      </c>
      <c r="B69">
        <v>34</v>
      </c>
      <c r="C69">
        <v>86</v>
      </c>
      <c r="D69" t="s">
        <v>4</v>
      </c>
      <c r="E69">
        <f t="shared" si="1"/>
        <v>4.8449612403100783E-3</v>
      </c>
    </row>
    <row r="70" spans="1:6" x14ac:dyDescent="0.2">
      <c r="A70">
        <v>89</v>
      </c>
      <c r="B70">
        <v>98</v>
      </c>
      <c r="C70">
        <v>42</v>
      </c>
      <c r="D70" t="s">
        <v>4</v>
      </c>
      <c r="E70">
        <f t="shared" si="1"/>
        <v>2.4077046548956669E-3</v>
      </c>
    </row>
    <row r="71" spans="1:6" x14ac:dyDescent="0.2">
      <c r="A71">
        <v>71</v>
      </c>
      <c r="B71">
        <v>72</v>
      </c>
      <c r="C71">
        <v>10</v>
      </c>
      <c r="D71" t="s">
        <v>4</v>
      </c>
      <c r="E71">
        <f t="shared" si="1"/>
        <v>1.4084507042253502E-3</v>
      </c>
    </row>
    <row r="72" spans="1:6" x14ac:dyDescent="0.2">
      <c r="A72">
        <v>21</v>
      </c>
      <c r="B72">
        <v>26</v>
      </c>
      <c r="C72">
        <v>46</v>
      </c>
      <c r="D72" t="s">
        <v>4</v>
      </c>
      <c r="E72">
        <f t="shared" si="1"/>
        <v>5.1759834368530029E-3</v>
      </c>
    </row>
    <row r="73" spans="1:6" x14ac:dyDescent="0.2">
      <c r="A73">
        <v>53</v>
      </c>
      <c r="B73">
        <v>61</v>
      </c>
      <c r="C73">
        <v>95</v>
      </c>
      <c r="D73" t="s">
        <v>4</v>
      </c>
      <c r="E73">
        <f t="shared" si="1"/>
        <v>1.5888778550148953E-3</v>
      </c>
    </row>
    <row r="74" spans="1:6" x14ac:dyDescent="0.2">
      <c r="A74">
        <v>78</v>
      </c>
      <c r="B74">
        <v>80</v>
      </c>
      <c r="C74">
        <v>162</v>
      </c>
      <c r="D74" t="s">
        <v>4</v>
      </c>
      <c r="E74">
        <f t="shared" si="1"/>
        <v>1.5827793605571326E-4</v>
      </c>
    </row>
    <row r="75" spans="1:6" x14ac:dyDescent="0.2">
      <c r="A75">
        <v>62</v>
      </c>
      <c r="B75">
        <v>64</v>
      </c>
      <c r="C75">
        <v>97</v>
      </c>
      <c r="D75" t="s">
        <v>4</v>
      </c>
      <c r="E75">
        <f t="shared" si="1"/>
        <v>3.3255736614565983E-4</v>
      </c>
    </row>
    <row r="76" spans="1:6" x14ac:dyDescent="0.2">
      <c r="A76">
        <v>45</v>
      </c>
      <c r="B76">
        <v>58</v>
      </c>
      <c r="C76">
        <v>41</v>
      </c>
      <c r="D76" t="s">
        <v>4</v>
      </c>
      <c r="E76">
        <f t="shared" si="1"/>
        <v>7.0460704607046088E-3</v>
      </c>
    </row>
    <row r="77" spans="1:6" x14ac:dyDescent="0.2">
      <c r="A77">
        <v>68</v>
      </c>
      <c r="B77">
        <v>90</v>
      </c>
      <c r="C77">
        <v>41</v>
      </c>
      <c r="D77" t="s">
        <v>4</v>
      </c>
      <c r="E77">
        <f t="shared" si="1"/>
        <v>7.8909612625538018E-3</v>
      </c>
    </row>
    <row r="78" spans="1:6" x14ac:dyDescent="0.2">
      <c r="A78">
        <v>37</v>
      </c>
      <c r="B78">
        <v>44</v>
      </c>
      <c r="C78">
        <v>82</v>
      </c>
      <c r="D78" s="1" t="s">
        <v>4</v>
      </c>
      <c r="E78" s="1">
        <f t="shared" si="1"/>
        <v>2.3071852340145033E-3</v>
      </c>
      <c r="F78" s="2">
        <f>GEOMEAN(E78:E79)</f>
        <v>3.6120054219968161E-3</v>
      </c>
    </row>
    <row r="79" spans="1:6" x14ac:dyDescent="0.2">
      <c r="A79">
        <v>80</v>
      </c>
      <c r="B79">
        <v>99</v>
      </c>
      <c r="C79">
        <v>42</v>
      </c>
      <c r="D79" s="1" t="s">
        <v>5</v>
      </c>
      <c r="E79" s="1">
        <f t="shared" si="1"/>
        <v>5.6547619047619055E-3</v>
      </c>
    </row>
    <row r="80" spans="1:6" x14ac:dyDescent="0.2">
      <c r="A80">
        <v>33</v>
      </c>
      <c r="B80">
        <v>38</v>
      </c>
      <c r="C80">
        <v>79</v>
      </c>
      <c r="D80" t="s">
        <v>4</v>
      </c>
      <c r="E80">
        <f t="shared" si="1"/>
        <v>1.9179133103183748E-3</v>
      </c>
    </row>
    <row r="81" spans="1:6" x14ac:dyDescent="0.2">
      <c r="A81">
        <v>13</v>
      </c>
      <c r="B81">
        <v>18</v>
      </c>
      <c r="C81">
        <v>32</v>
      </c>
      <c r="D81" s="1" t="s">
        <v>4</v>
      </c>
      <c r="E81" s="1">
        <f t="shared" si="1"/>
        <v>1.2019230769230768E-2</v>
      </c>
      <c r="F81" s="2">
        <f>GEOMEAN(E81:E82)</f>
        <v>5.5060688299778523E-3</v>
      </c>
    </row>
    <row r="82" spans="1:6" x14ac:dyDescent="0.2">
      <c r="A82">
        <v>49</v>
      </c>
      <c r="B82">
        <v>60</v>
      </c>
      <c r="C82">
        <v>89</v>
      </c>
      <c r="D82" s="1" t="s">
        <v>5</v>
      </c>
      <c r="E82" s="1">
        <f t="shared" si="1"/>
        <v>2.522357257509746E-3</v>
      </c>
    </row>
    <row r="83" spans="1:6" x14ac:dyDescent="0.2">
      <c r="A83">
        <v>61</v>
      </c>
      <c r="B83">
        <v>78</v>
      </c>
      <c r="C83">
        <v>71</v>
      </c>
      <c r="D83" t="s">
        <v>4</v>
      </c>
      <c r="E83">
        <f t="shared" si="1"/>
        <v>3.9251904871854086E-3</v>
      </c>
    </row>
    <row r="84" spans="1:6" x14ac:dyDescent="0.2">
      <c r="A84">
        <v>12</v>
      </c>
      <c r="B84">
        <v>32</v>
      </c>
      <c r="C84">
        <v>33</v>
      </c>
      <c r="D84" t="s">
        <v>4</v>
      </c>
      <c r="E84">
        <f t="shared" si="1"/>
        <v>5.0505050505050497E-2</v>
      </c>
    </row>
    <row r="85" spans="1:6" x14ac:dyDescent="0.2">
      <c r="A85">
        <v>51</v>
      </c>
      <c r="B85">
        <v>54</v>
      </c>
      <c r="C85">
        <v>16</v>
      </c>
      <c r="D85" t="s">
        <v>4</v>
      </c>
      <c r="E85">
        <f t="shared" si="1"/>
        <v>3.6764705882352949E-3</v>
      </c>
    </row>
    <row r="86" spans="1:6" x14ac:dyDescent="0.2">
      <c r="A86">
        <v>41</v>
      </c>
      <c r="B86">
        <v>47</v>
      </c>
      <c r="C86">
        <v>41</v>
      </c>
      <c r="D86" t="s">
        <v>4</v>
      </c>
      <c r="E86">
        <f t="shared" si="1"/>
        <v>3.5693039857227818E-3</v>
      </c>
    </row>
    <row r="87" spans="1:6" x14ac:dyDescent="0.2">
      <c r="A87">
        <v>11</v>
      </c>
      <c r="B87">
        <v>17</v>
      </c>
      <c r="C87">
        <v>63</v>
      </c>
      <c r="D87" s="1" t="s">
        <v>4</v>
      </c>
      <c r="E87" s="1">
        <f t="shared" si="1"/>
        <v>8.658008658008658E-3</v>
      </c>
      <c r="F87" s="2">
        <f>GEOMEAN(E87:E88)</f>
        <v>1.4265349750363764E-2</v>
      </c>
    </row>
    <row r="88" spans="1:6" x14ac:dyDescent="0.2">
      <c r="A88">
        <v>13</v>
      </c>
      <c r="B88">
        <v>35</v>
      </c>
      <c r="C88">
        <v>72</v>
      </c>
      <c r="D88" s="1" t="s">
        <v>5</v>
      </c>
      <c r="E88" s="1">
        <f t="shared" si="1"/>
        <v>2.3504273504273508E-2</v>
      </c>
    </row>
    <row r="89" spans="1:6" x14ac:dyDescent="0.2">
      <c r="A89">
        <v>54</v>
      </c>
      <c r="B89">
        <v>79</v>
      </c>
      <c r="C89">
        <v>15</v>
      </c>
      <c r="D89" t="s">
        <v>5</v>
      </c>
      <c r="E89">
        <f t="shared" si="1"/>
        <v>3.0864197530864203E-2</v>
      </c>
    </row>
    <row r="90" spans="1:6" x14ac:dyDescent="0.2">
      <c r="A90">
        <v>69</v>
      </c>
      <c r="B90">
        <v>76</v>
      </c>
      <c r="C90">
        <v>53</v>
      </c>
      <c r="D90" s="1" t="s">
        <v>4</v>
      </c>
      <c r="E90" s="1">
        <f t="shared" si="1"/>
        <v>1.9141372709871481E-3</v>
      </c>
      <c r="F90" s="2">
        <f>GEOMEAN(E90:E91)</f>
        <v>3.5056819469598374E-3</v>
      </c>
    </row>
    <row r="91" spans="1:6" x14ac:dyDescent="0.2">
      <c r="A91">
        <v>28</v>
      </c>
      <c r="B91">
        <v>44</v>
      </c>
      <c r="C91">
        <v>89</v>
      </c>
      <c r="D91" s="1" t="s">
        <v>5</v>
      </c>
      <c r="E91" s="1">
        <f t="shared" si="1"/>
        <v>6.420545746388443E-3</v>
      </c>
    </row>
    <row r="92" spans="1:6" x14ac:dyDescent="0.2">
      <c r="A92">
        <v>69</v>
      </c>
      <c r="B92">
        <v>82</v>
      </c>
      <c r="C92">
        <v>50</v>
      </c>
      <c r="D92" t="s">
        <v>5</v>
      </c>
      <c r="E92">
        <f t="shared" si="1"/>
        <v>3.7681159420289846E-3</v>
      </c>
    </row>
    <row r="93" spans="1:6" x14ac:dyDescent="0.2">
      <c r="A93">
        <v>48</v>
      </c>
      <c r="B93">
        <v>50</v>
      </c>
      <c r="C93">
        <v>12</v>
      </c>
      <c r="D93" t="s">
        <v>4</v>
      </c>
      <c r="E93">
        <f t="shared" si="1"/>
        <v>3.4722222222222285E-3</v>
      </c>
    </row>
    <row r="94" spans="1:6" x14ac:dyDescent="0.2">
      <c r="A94">
        <v>71</v>
      </c>
      <c r="B94">
        <v>86</v>
      </c>
      <c r="C94">
        <v>71</v>
      </c>
      <c r="D94" s="1" t="s">
        <v>4</v>
      </c>
      <c r="E94" s="1">
        <f t="shared" si="1"/>
        <v>2.9756000793493345E-3</v>
      </c>
      <c r="F94" s="2">
        <f>GEOMEAN(E94:E95)</f>
        <v>5.9908190790380319E-3</v>
      </c>
    </row>
    <row r="95" spans="1:6" x14ac:dyDescent="0.2">
      <c r="A95">
        <v>24</v>
      </c>
      <c r="B95">
        <v>35</v>
      </c>
      <c r="C95">
        <v>38</v>
      </c>
      <c r="D95" s="1" t="s">
        <v>5</v>
      </c>
      <c r="E95" s="1">
        <f t="shared" si="1"/>
        <v>1.2061403508771927E-2</v>
      </c>
    </row>
    <row r="96" spans="1:6" x14ac:dyDescent="0.2">
      <c r="A96">
        <v>13</v>
      </c>
      <c r="B96">
        <v>38</v>
      </c>
      <c r="C96">
        <v>69</v>
      </c>
      <c r="D96" t="s">
        <v>5</v>
      </c>
      <c r="E96">
        <f t="shared" si="1"/>
        <v>2.7870680044593085E-2</v>
      </c>
    </row>
    <row r="97" spans="1:6" x14ac:dyDescent="0.2">
      <c r="A97">
        <v>45</v>
      </c>
      <c r="B97">
        <v>64</v>
      </c>
      <c r="C97">
        <v>99</v>
      </c>
      <c r="D97" t="s">
        <v>5</v>
      </c>
      <c r="E97">
        <f t="shared" si="1"/>
        <v>4.2648709315375984E-3</v>
      </c>
    </row>
    <row r="98" spans="1:6" x14ac:dyDescent="0.2">
      <c r="A98">
        <v>12</v>
      </c>
      <c r="B98">
        <v>19</v>
      </c>
      <c r="C98">
        <v>79</v>
      </c>
      <c r="D98" t="s">
        <v>4</v>
      </c>
      <c r="E98">
        <f t="shared" si="1"/>
        <v>7.3839662447257376E-3</v>
      </c>
    </row>
    <row r="99" spans="1:6" x14ac:dyDescent="0.2">
      <c r="A99">
        <v>17</v>
      </c>
      <c r="B99">
        <v>32</v>
      </c>
      <c r="C99">
        <v>44</v>
      </c>
      <c r="D99" s="1" t="s">
        <v>4</v>
      </c>
      <c r="E99" s="1">
        <f t="shared" si="1"/>
        <v>2.0053475935828877E-2</v>
      </c>
      <c r="F99" s="2">
        <f>GEOMEAN(E99:E100)</f>
        <v>5.1708768999501921E-2</v>
      </c>
    </row>
    <row r="100" spans="1:6" x14ac:dyDescent="0.2">
      <c r="A100">
        <v>18</v>
      </c>
      <c r="B100">
        <v>42</v>
      </c>
      <c r="C100">
        <v>10</v>
      </c>
      <c r="D100" s="1" t="s">
        <v>5</v>
      </c>
      <c r="E100" s="1">
        <f t="shared" si="1"/>
        <v>0.13333333333333336</v>
      </c>
    </row>
    <row r="101" spans="1:6" x14ac:dyDescent="0.2">
      <c r="A101">
        <v>87</v>
      </c>
      <c r="B101">
        <v>90</v>
      </c>
      <c r="C101">
        <v>10</v>
      </c>
      <c r="D101" t="s">
        <v>4</v>
      </c>
      <c r="E101">
        <f t="shared" si="1"/>
        <v>3.4482758620689724E-3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Justice Alpesh Kogje</dc:creator>
  <cp:lastModifiedBy>Justice Alpesh Kogje</cp:lastModifiedBy>
  <dcterms:created xsi:type="dcterms:W3CDTF">2025-11-01T12:53:53Z</dcterms:created>
  <dcterms:modified xsi:type="dcterms:W3CDTF">2025-11-04T04:44:19Z</dcterms:modified>
</cp:coreProperties>
</file>